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A1_Forecast" sheetId="2" state="visible" r:id="rId4"/>
    <sheet name="A2_A3_EOQ" sheetId="3" state="visible" r:id="rId5"/>
    <sheet name="B1_B2_Systems" sheetId="4" state="visible" r:id="rId6"/>
    <sheet name="B3_Improved" sheetId="5" state="visible" r:id="rId7"/>
    <sheet name="B4_Periodic" sheetId="6" state="visible" r:id="rId8"/>
    <sheet name="_Tabl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<sst xmlns="http://schemas.openxmlformats.org/spreadsheetml/2006/main" count="292" uniqueCount="244">
  <si>
    <t xml:space="preserve">INVENTORY MANAGEMENT — Assignment 2025-2026</t>
  </si>
  <si>
    <t xml:space="preserve">A.U.Th. · Dept. of Mechanical Engineering · Instructor: G. Tagaras  |  Data &amp; Parameters</t>
  </si>
  <si>
    <t xml:space="preserve">Table of contents</t>
  </si>
  <si>
    <t xml:space="preserve">Data</t>
  </si>
  <si>
    <t xml:space="preserve">Inputs &amp; parameters for both parts</t>
  </si>
  <si>
    <t xml:space="preserve">A1_Forecast</t>
  </si>
  <si>
    <t xml:space="preserve">Exponential smoothing – choice of α, forecast for months 25-36</t>
  </si>
  <si>
    <t xml:space="preserve">A2_A3_EOQ</t>
  </si>
  <si>
    <t xml:space="preserve">Reorder point, EOQ, costs, quantity discounts</t>
  </si>
  <si>
    <t xml:space="preserve">B1_B2_Systems</t>
  </si>
  <si>
    <t xml:space="preserve">Two (s,Q) systems – service measures &amp; costs</t>
  </si>
  <si>
    <t xml:space="preserve">B3_Improved</t>
  </si>
  <si>
    <t xml:space="preserve">Improved (s,Q) with shortage cost – comparison of 3 systems</t>
  </si>
  <si>
    <t xml:space="preserve">B4_Periodic</t>
  </si>
  <si>
    <t xml:space="preserve">Periodic-review (R,S) systems – final recommendation</t>
  </si>
  <si>
    <t xml:space="preserve">Color legend:</t>
  </si>
  <si>
    <t xml:space="preserve">Input (blue)</t>
  </si>
  <si>
    <t xml:space="preserve">Formula</t>
  </si>
  <si>
    <t xml:space="preserve">Result</t>
  </si>
  <si>
    <t xml:space="preserve">PART A — Data</t>
  </si>
  <si>
    <t xml:space="preserve">Demand of the last 24 months (units)</t>
  </si>
  <si>
    <t xml:space="preserve">Month</t>
  </si>
  <si>
    <t xml:space="preserve">Demand</t>
  </si>
  <si>
    <t xml:space="preserve">Parameter</t>
  </si>
  <si>
    <t xml:space="preserve">Symbol</t>
  </si>
  <si>
    <t xml:space="preserve">Value</t>
  </si>
  <si>
    <t xml:space="preserve">Description</t>
  </si>
  <si>
    <t xml:space="preserve">Purchase cost / unit</t>
  </si>
  <si>
    <t xml:space="preserve">v</t>
  </si>
  <si>
    <t xml:space="preserve">€/unit</t>
  </si>
  <si>
    <t xml:space="preserve">Fixed ordering cost</t>
  </si>
  <si>
    <t xml:space="preserve">A</t>
  </si>
  <si>
    <t xml:space="preserve">€/batch</t>
  </si>
  <si>
    <t xml:space="preserve">Lead time</t>
  </si>
  <si>
    <t xml:space="preserve">L</t>
  </si>
  <si>
    <t xml:space="preserve">months</t>
  </si>
  <si>
    <t xml:space="preserve">Discount factor</t>
  </si>
  <si>
    <t xml:space="preserve">E</t>
  </si>
  <si>
    <t xml:space="preserve">% (see A3)</t>
  </si>
  <si>
    <t xml:space="preserve">Holding cost rate</t>
  </si>
  <si>
    <t xml:space="preserve">r</t>
  </si>
  <si>
    <t xml:space="preserve">10% of unit value / year</t>
  </si>
  <si>
    <t xml:space="preserve">Note: the annual holding cost equals r·v = 10% of unit value per year.</t>
  </si>
  <si>
    <t xml:space="preserve">PART B — Data (transformers)</t>
  </si>
  <si>
    <t xml:space="preserve">Mean weekly demand</t>
  </si>
  <si>
    <t xml:space="preserve">μ</t>
  </si>
  <si>
    <t xml:space="preserve">units/week</t>
  </si>
  <si>
    <t xml:space="preserve">Std. dev. of weekly demand</t>
  </si>
  <si>
    <t xml:space="preserve">σ</t>
  </si>
  <si>
    <t xml:space="preserve">Transformer price</t>
  </si>
  <si>
    <t xml:space="preserve">per year</t>
  </si>
  <si>
    <t xml:space="preserve">Ordering cost</t>
  </si>
  <si>
    <t xml:space="preserve">€/order</t>
  </si>
  <si>
    <t xml:space="preserve">Sale-price discount (back-order)</t>
  </si>
  <si>
    <t xml:space="preserve">B</t>
  </si>
  <si>
    <t xml:space="preserve">€/unit short</t>
  </si>
  <si>
    <t xml:space="preserve">Purchase-price discount (B4)</t>
  </si>
  <si>
    <t xml:space="preserve">% on price v</t>
  </si>
  <si>
    <t xml:space="preserve">weeks</t>
  </si>
  <si>
    <t xml:space="preserve">PART A — Question 1 : Demand forecasting (simple exponential smoothing)</t>
  </si>
  <si>
    <t xml:space="preserve">Choice of smoothing constant α and forecast for months 25–36</t>
  </si>
  <si>
    <t xml:space="preserve">Method: aₜ = aₜ₋₁ + α·(xₜ − aₜ₋₁).  Initial estimate a₁₁ = mean demand of the first 11 months.  Accuracy is compared over months 13–24 with MSE, MAD, MAPE (error eₜ = xₜ − aₜ).</t>
  </si>
  <si>
    <t xml:space="preserve">Initial estimate  a₁₁ = mean demand of months 1–11 :</t>
  </si>
  <si>
    <t xml:space="preserve">α  →</t>
  </si>
  <si>
    <t xml:space="preserve">Forecast table aₜ for the three values of α</t>
  </si>
  <si>
    <t xml:space="preserve">t</t>
  </si>
  <si>
    <t xml:space="preserve">xₜ</t>
  </si>
  <si>
    <t xml:space="preserve">aₜ (α=0.10)</t>
  </si>
  <si>
    <t xml:space="preserve">aₜ (α=0.15)</t>
  </si>
  <si>
    <t xml:space="preserve">aₜ (α=0.20)</t>
  </si>
  <si>
    <t xml:space="preserve">The shaded rows (months 13–24) are the accuracy-evaluation period.</t>
  </si>
  <si>
    <t xml:space="preserve">Accuracy comparison over months 13–24</t>
  </si>
  <si>
    <t xml:space="preserve">Error measure</t>
  </si>
  <si>
    <t xml:space="preserve">α = 0.10</t>
  </si>
  <si>
    <t xml:space="preserve">α = 0.15</t>
  </si>
  <si>
    <t xml:space="preserve">α = 0.20</t>
  </si>
  <si>
    <t xml:space="preserve">Definition</t>
  </si>
  <si>
    <t xml:space="preserve">MSE</t>
  </si>
  <si>
    <t xml:space="preserve">mean squared error = Σ(xₜ−aₜ)²/12</t>
  </si>
  <si>
    <t xml:space="preserve">MAD</t>
  </si>
  <si>
    <t xml:space="preserve">mean absolute deviation = Σ|xₜ−aₜ|/12</t>
  </si>
  <si>
    <t xml:space="preserve">MAPE</t>
  </si>
  <si>
    <t xml:space="preserve">mean absolute percentage error = Σ|(xₜ−aₜ)/xₜ|/12</t>
  </si>
  <si>
    <t xml:space="preserve">Choice of α (minimum error)</t>
  </si>
  <si>
    <t xml:space="preserve">All three measures are minimized at the same value → that α is chosen.</t>
  </si>
  <si>
    <t xml:space="preserve">Forecast for months 25–36</t>
  </si>
  <si>
    <t xml:space="preserve">Forecast = a₂₄ of the chosen α (constant for all months 25–36) :</t>
  </si>
  <si>
    <t xml:space="preserve">≈ units/month</t>
  </si>
  <si>
    <t xml:space="preserve">As there are no newer data, the forecast stays constant for all months 25–36. With new actual demand xₜ the forecast would be revised.</t>
  </si>
  <si>
    <t xml:space="preserve">PART A — Questions 2 &amp; 3 : EOQ, reorder point &amp; discounts</t>
  </si>
  <si>
    <t xml:space="preserve">Constant demand at the forecast level (Question 1)</t>
  </si>
  <si>
    <t xml:space="preserve">Demand base (from the forecast)</t>
  </si>
  <si>
    <t xml:space="preserve">Monthly demand (rounded forecast)</t>
  </si>
  <si>
    <t xml:space="preserve">units/month</t>
  </si>
  <si>
    <t xml:space="preserve">forecast for months 25–36</t>
  </si>
  <si>
    <t xml:space="preserve">Annual demand  D = 12 × monthly</t>
  </si>
  <si>
    <t xml:space="preserve">units/year</t>
  </si>
  <si>
    <t xml:space="preserve">Question 2 : Reorder point s &amp; Economic Order Quantity (EOQ)</t>
  </si>
  <si>
    <t xml:space="preserve">L = 1 month. s = demand during lead time = monthly demand.   EOQ = √(2·A·D / (v·r)), rounded to the nearest multiple of 10.</t>
  </si>
  <si>
    <t xml:space="preserve">Reorder point  s = L · (monthly demand)</t>
  </si>
  <si>
    <t xml:space="preserve">units</t>
  </si>
  <si>
    <t xml:space="preserve">when stock reaches here → new order</t>
  </si>
  <si>
    <t xml:space="preserve">EOQ (exact value)</t>
  </si>
  <si>
    <t xml:space="preserve">Q* = EOQ (multiple of 10)</t>
  </si>
  <si>
    <t xml:space="preserve">Annual costs with Q = Q*</t>
  </si>
  <si>
    <t xml:space="preserve">Cost component</t>
  </si>
  <si>
    <t xml:space="preserve">€/year</t>
  </si>
  <si>
    <t xml:space="preserve">Explanation</t>
  </si>
  <si>
    <t xml:space="preserve">Ordering cost  (D/Q)·A</t>
  </si>
  <si>
    <t xml:space="preserve">D/Q = order frequency</t>
  </si>
  <si>
    <t xml:space="preserve">Holding cost  v·r·(Q/2)</t>
  </si>
  <si>
    <t xml:space="preserve">Q/2 = average inventory</t>
  </si>
  <si>
    <t xml:space="preserve">Total cost  TC = ordering + holding cost</t>
  </si>
  <si>
    <t xml:space="preserve">Question 3 : All-units quantity discounts</t>
  </si>
  <si>
    <t xml:space="preserve">Discount E% for Q ≥ 2000, or 2E% for Q ≥ 5000.  We check whether accepting is worthwhile by comparing total cost (purchase + ordering + holding).</t>
  </si>
  <si>
    <t xml:space="preserve">Discount rate  d₁ = E%</t>
  </si>
  <si>
    <t xml:space="preserve">for Q ≥ 2000</t>
  </si>
  <si>
    <t xml:space="preserve">Discount rate  d₂ = 2E%</t>
  </si>
  <si>
    <t xml:space="preserve">for Q ≥ 5000</t>
  </si>
  <si>
    <t xml:space="preserve">EOQ with discount d₁ = √(2AD/(v(1−d₁)r))</t>
  </si>
  <si>
    <t xml:space="preserve">EOQ with discount d₂</t>
  </si>
  <si>
    <t xml:space="preserve">Both discounted EOQs are far below the thresholds (2000, 5000). So the discount can only be obtained by ordering exactly at the threshold Qb → we evaluate the cost at the thresholds.</t>
  </si>
  <si>
    <t xml:space="preserve">Total-cost comparison (includes purchase cost D·v)</t>
  </si>
  <si>
    <t xml:space="preserve">Scenario</t>
  </si>
  <si>
    <t xml:space="preserve">Quantity Q</t>
  </si>
  <si>
    <t xml:space="preserve">Discount</t>
  </si>
  <si>
    <t xml:space="preserve">Purchase cost D·v(1−d)</t>
  </si>
  <si>
    <t xml:space="preserve">Ordering (D/Q)A</t>
  </si>
  <si>
    <t xml:space="preserve">Holding v(1−d)r·Q/2</t>
  </si>
  <si>
    <t xml:space="preserve">TOTAL TC</t>
  </si>
  <si>
    <t xml:space="preserve">Q* (no discount)</t>
  </si>
  <si>
    <t xml:space="preserve">Qb₁ = 2000 (d₁)</t>
  </si>
  <si>
    <t xml:space="preserve">Qb₂ = 5000 (d₂)</t>
  </si>
  <si>
    <t xml:space="preserve">Best scenario →</t>
  </si>
  <si>
    <t xml:space="preserve">Conclusion: the lowest total cost occurs at Q* (no discount). The discounts do not offset the increase in holding cost from the very large quantities → they are NOT worthwhile.</t>
  </si>
  <si>
    <t xml:space="preserve">PART B — Questions 1 &amp; 2 : Two (s, Q) systems &amp; defense of the choice</t>
  </si>
  <si>
    <t xml:space="preserve">Stochastic weekly demand  X ~ N(μ, σ²).  L = 2 weeks.</t>
  </si>
  <si>
    <t xml:space="preserve">Common calculation base</t>
  </si>
  <si>
    <t xml:space="preserve">Demand during lead time: μ_L = L·μ,  σ_L = √L·σ.  Annual demand D = 52·μ.  Order quantity Q from EOQ (common to both systems).</t>
  </si>
  <si>
    <t xml:space="preserve">μ_L = L · μ   (mean demand during lead time)</t>
  </si>
  <si>
    <t xml:space="preserve">σ_L = √L · σ   (std. dev. during lead time)</t>
  </si>
  <si>
    <t xml:space="preserve">D = 52 · μ   (annual demand)</t>
  </si>
  <si>
    <t xml:space="preserve">EOQ = √(2·A·D/(v·r))</t>
  </si>
  <si>
    <t xml:space="preserve">Q = EOQ (rounded)</t>
  </si>
  <si>
    <t xml:space="preserve">System 1 — Department's choice :  target fill rate  P₂ = 95%</t>
  </si>
  <si>
    <t xml:space="preserve">Given P₂ = 0.95. From P₂ = 1 − σ_L·G(k)/Q  →  G(k) = Q·(1−P₂)/σ_L. k is found by inverting the G(k) table (helper sheet _Tables).</t>
  </si>
  <si>
    <t xml:space="preserve">Target fill rate  P₂</t>
  </si>
  <si>
    <t xml:space="preserve">Required  G(k) = Q·(1−P₂)/σ_L</t>
  </si>
  <si>
    <t xml:space="preserve">Safety factor  k  (inversion of G(k))</t>
  </si>
  <si>
    <t xml:space="preserve">MATCH on descending G(k)</t>
  </si>
  <si>
    <t xml:space="preserve">Safety stock  ss = k·σ_L</t>
  </si>
  <si>
    <t xml:space="preserve">Reorder point  s = μ_L + ss</t>
  </si>
  <si>
    <t xml:space="preserve">P₁ = Φ(k)  (prob. of no stockout per cycle)</t>
  </si>
  <si>
    <t xml:space="preserve">System 1 :  (s, Q) = (s₁, Q).  Low ss → low inventory, but P₁ only ~52%.</t>
  </si>
  <si>
    <t xml:space="preserve">System 2 — GM's wish :  stockout ≤ 1 in 20 orders  →  P₁ = 95%</t>
  </si>
  <si>
    <t xml:space="preserve">Given P₁ = 1 − 1/20 = 0.95 = Φ(k)  →  k = Φ⁻¹(0.95). From k we get ss, s and the corresponding fill rate P₂ = 1 − σ_L·G(k)/Q.</t>
  </si>
  <si>
    <t xml:space="preserve">Target  P₁ = 1 − 1/20</t>
  </si>
  <si>
    <t xml:space="preserve">Safety factor  k = Φ⁻¹(P₁)</t>
  </si>
  <si>
    <t xml:space="preserve">G(k)  (direct formula φ(k)−k·(1−Φ(k)))</t>
  </si>
  <si>
    <t xml:space="preserve">P₂ = 1 − σ_L·G(k)/Q  (fill rate)</t>
  </si>
  <si>
    <t xml:space="preserve">System 2 :  (s, Q) = (s₂, Q).  Very high ss → P₂ ≈ 99.7%, but large safety stock.</t>
  </si>
  <si>
    <t xml:space="preserve">Question 2 — Cost comparison &amp; defense of the choice</t>
  </si>
  <si>
    <t xml:space="preserve">Average inventory = ss + Q/2.  Ordering = (D/Q)·A.  Holding = v·r·(ss + Q/2).  Shortage = B·(1−P₁)·(D/Q)  [B = discount per unit short · expected stockouts/year].</t>
  </si>
  <si>
    <t xml:space="preserve">Quantity</t>
  </si>
  <si>
    <t xml:space="preserve">System 1 (Dept)</t>
  </si>
  <si>
    <t xml:space="preserve">System 2 (GM)</t>
  </si>
  <si>
    <t xml:space="preserve">Average inventory = ss + Q/2</t>
  </si>
  <si>
    <t xml:space="preserve">Ordering cost (D/Q)·A</t>
  </si>
  <si>
    <t xml:space="preserve">Holding cost v·r·(ss+Q/2)</t>
  </si>
  <si>
    <t xml:space="preserve">Shortage cost B·(1−P₁)·(D/Q)</t>
  </si>
  <si>
    <t xml:space="preserve">Total annual cost TC</t>
  </si>
  <si>
    <t xml:space="preserve">Argument: System 1 (P₂=95%) holds far less safety stock than System 2 (P₁=95%) and has a LOWER total cost. The difference over 18 months (1.5 years):</t>
  </si>
  <si>
    <t xml:space="preserve">Department saving over 18 months = (TC₂ − TC₁)·1.5</t>
  </si>
  <si>
    <t xml:space="preserve">€</t>
  </si>
  <si>
    <t xml:space="preserve">positive → the Department made the right choice</t>
  </si>
  <si>
    <t xml:space="preserve">Conclusion: the Department's choice (95% fill rate) did NOT cost the company — on the contrary it saved money, maintaining a reasonable service level with much less inventory.</t>
  </si>
  <si>
    <t xml:space="preserve">PART B — Question 3 : Improved (s, Q) system with shortage cost</t>
  </si>
  <si>
    <t xml:space="preserve">Joint determination of s and Q taking the shortage cost B into account.</t>
  </si>
  <si>
    <t xml:space="preserve">Improved system — System 3</t>
  </si>
  <si>
    <t xml:space="preserve">With shortage cost B €/unit, the optimal reorder point satisfies 1 − Φ(k) = Q·v·r / (B·D)  (the per-cycle stockout probability depends on Q → s–Q interdependence). Q stays = EOQ from the previous sheet.</t>
  </si>
  <si>
    <t xml:space="preserve">Base (from sheet B1_B2):  μ_L, σ_L, D and Q = EOQ.</t>
  </si>
  <si>
    <t xml:space="preserve">Per-cycle stockout probability  1−Φ(k) = Q·v·r/(B·D)</t>
  </si>
  <si>
    <t xml:space="preserve">improved condition (correction)</t>
  </si>
  <si>
    <t xml:space="preserve">Safety factor  k = Φ⁻¹(1 − (Q·v·r/(B·D)))</t>
  </si>
  <si>
    <t xml:space="preserve">G(k) = φ(k) − k·(1−Φ(k))</t>
  </si>
  <si>
    <t xml:space="preserve">Improved system 3 :  (s, Q) = (s₃, Q),  with fill rate P₂ ≈ 99%.</t>
  </si>
  <si>
    <t xml:space="preserve">Comparison of the three (s, Q) systems</t>
  </si>
  <si>
    <t xml:space="preserve">Shortage cost: B·(1−Φ(k))·(D/Q) (uniform convention: cost per cycle with a stockout). Systems 1 &amp; 2 are drawn from sheet B1_B2.</t>
  </si>
  <si>
    <t xml:space="preserve">System 1
(Dept, P₂=95%)</t>
  </si>
  <si>
    <t xml:space="preserve">System 2
(GM, P₁=95%)</t>
  </si>
  <si>
    <t xml:space="preserve">System 3
(Improved)</t>
  </si>
  <si>
    <t xml:space="preserve">Reorder point s</t>
  </si>
  <si>
    <t xml:space="preserve">Safety stock ss</t>
  </si>
  <si>
    <t xml:space="preserve">Average inventory ss+Q/2</t>
  </si>
  <si>
    <t xml:space="preserve">Fill rate P₂</t>
  </si>
  <si>
    <t xml:space="preserve">Holding cost</t>
  </si>
  <si>
    <t xml:space="preserve">Shortage cost</t>
  </si>
  <si>
    <t xml:space="preserve">TOTAL COST TC</t>
  </si>
  <si>
    <t xml:space="preserve">Conclusion: System 1 (Department's choice, P₂=95%) remains the CHEAPEST in total cost. The improved System 3 substantially improves on System 2 (much lower inventory/cost) and achieves a high fill rate (~99%), but does not beat System 1 on cost.</t>
  </si>
  <si>
    <t xml:space="preserve">PART B — Question 4 : Periodic (R, S) system &amp; final recommendation</t>
  </si>
  <si>
    <t xml:space="preserve">Order 1×/month (R=4 wks) or 2×/month (R=2 wks). Protection interval R+L.</t>
  </si>
  <si>
    <t xml:space="preserve">Common base — protection interval R + L  (L = 2 wks)</t>
  </si>
  <si>
    <t xml:space="preserve">R₁ = 4 wks (1×/month)</t>
  </si>
  <si>
    <t xml:space="preserve">R₂ = 2 wks (2×/month)</t>
  </si>
  <si>
    <t xml:space="preserve">Review period R (weeks)</t>
  </si>
  <si>
    <t xml:space="preserve">Protection interval R + L</t>
  </si>
  <si>
    <t xml:space="preserve">μ(R+L) = (R+L)·μ</t>
  </si>
  <si>
    <t xml:space="preserve">σ(R+L) = √(R+L)·σ</t>
  </si>
  <si>
    <t xml:space="preserve">Demand per cycle = μ·R</t>
  </si>
  <si>
    <t xml:space="preserve">4a — Target: stockout ≤ 1 in 20 orders  →  P₁ = 95%</t>
  </si>
  <si>
    <t xml:space="preserve">S = μ(R+L) + k·σ(R+L), with k = Φ⁻¹(0.95) = 1.645. Mean time between stockouts TBS = R / (1 − P₁).</t>
  </si>
  <si>
    <t xml:space="preserve">k = Φ⁻¹(P₁) , P₁ = 1−1/20</t>
  </si>
  <si>
    <t xml:space="preserve">Order-up-to level S = μ(R+L)+k·σ(R+L)</t>
  </si>
  <si>
    <t xml:space="preserve">TBS = R/(1−P₁)  (weeks)</t>
  </si>
  <si>
    <t xml:space="preserve">Systems:  (R,S) = (4, S₁)  and  (R,S) = (2, S₂).  High service level, higher inventory cost.</t>
  </si>
  <si>
    <t xml:space="preserve">4b — Target: minimize total cost (with shortage cost B)</t>
  </si>
  <si>
    <t xml:space="preserve">Critical ratio CR = B / (B + v·r·R)  [R in years] → k = Φ⁻¹(CR).  (Correction: the v·r·R term must not be omitted.)  S = μ(R+L) + k·σ(R+L).</t>
  </si>
  <si>
    <t xml:space="preserve">R in years  = R/52</t>
  </si>
  <si>
    <t xml:space="preserve">Critical ratio CR = B/(B+v·r·R)</t>
  </si>
  <si>
    <t xml:space="preserve">k = Φ⁻¹(CR)</t>
  </si>
  <si>
    <t xml:space="preserve">G(k) = φ(k)−k·(1−Φ(k))</t>
  </si>
  <si>
    <t xml:space="preserve">Fill rate P₂ = 1 − σ(R+L)·G(k)/(μ·R)</t>
  </si>
  <si>
    <t xml:space="preserve">TBS = R/(1−Φ(k))  (weeks)</t>
  </si>
  <si>
    <t xml:space="preserve">4c — Final comparison &amp; recommendation  (E% price discount ONLY for the periodic (R,S))</t>
  </si>
  <si>
    <t xml:space="preserve">Discounted purchase price  v' = v·(1−E%)</t>
  </si>
  <si>
    <t xml:space="preserve">Cost per system = Purchase (D·price) + Ordering (A/R_yr or (D/Q)A) + Holding + Shortage. The 3% discount applies only if we accept fixed periods (supplier proposal).</t>
  </si>
  <si>
    <t xml:space="preserve">System</t>
  </si>
  <si>
    <t xml:space="preserve">S or (s,Q)</t>
  </si>
  <si>
    <t xml:space="preserve">Purchase cost</t>
  </si>
  <si>
    <t xml:space="preserve">Operating
(order+hold+short)</t>
  </si>
  <si>
    <t xml:space="preserve">(R,S) R₁=4, P₁=95%</t>
  </si>
  <si>
    <t xml:space="preserve">(R,S) R₂=2, P₁=95%</t>
  </si>
  <si>
    <t xml:space="preserve">(R,S) R₁=4, min cost</t>
  </si>
  <si>
    <t xml:space="preserve">(R,S) R₂=2, min cost</t>
  </si>
  <si>
    <t xml:space="preserve">(s,Q) improved (full price)</t>
  </si>
  <si>
    <t xml:space="preserve">Minimum total cost →</t>
  </si>
  <si>
    <t xml:space="preserve">RECOMMENDATION: All periodic (R,S) systems with the 3% discount are clearly cheaper than (s,Q) at full price — the purchase-price discount (~€17,000/year) outweighs the differences in the other costs. Therefore accepting the supplier's proposal IS worthwhile.</t>
  </si>
  <si>
    <t xml:space="preserve">Between the two periods, ordering once/month (R₁=4 wks) gives the lowest total cost (lower ordering cost). Final recommendation to the GM: accept a fixed period, ordering once a month.</t>
  </si>
  <si>
    <t xml:space="preserve">Standard normal distribution &amp; loss function G(k) table</t>
  </si>
  <si>
    <t xml:space="preserve">Helper table. G(k)=φ(k)−k·[1−Φ(k)]. Used to invert G(k)→k (find k from a target fill rate).</t>
  </si>
  <si>
    <t xml:space="preserve">k</t>
  </si>
  <si>
    <t xml:space="preserve">φ(k)</t>
  </si>
  <si>
    <t xml:space="preserve">Φ(k)</t>
  </si>
  <si>
    <t xml:space="preserve">G(k)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</si>
</sst>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0%"/>
    <numFmt numFmtId="167" formatCode="0.00"/>
    <numFmt numFmtId="168" formatCode="0.00%"/>
    <numFmt numFmtId="169" formatCode="#,##0.00"/>
    <numFmt numFmtId="170" formatCode="0.0%"/>
    <numFmt numFmtId="171" formatCode="#,##0"/>
    <numFmt numFmtId="172" formatCode="0.0000"/>
    <numFmt numFmtId="173" formatCode="0.000"/>
    <numFmt numFmtId="174" formatCode="#,##0.0"/>
    <numFmt numFmtId="175" formatCode="0.0"/>
    <numFmt numFmtId="176" formatCode="0.000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b val="true"/>
      <sz val="11"/>
      <color rgb="FF0F4C5C"/>
      <name val="Calibri"/>
      <family val="0"/>
      <charset val="1"/>
    </font>
    <font>
      <b val="true"/>
      <sz val="10"/>
      <color rgb="FF2E7D8F"/>
      <name val="Calibri"/>
      <family val="0"/>
      <charset val="1"/>
    </font>
    <font>
      <sz val="10"/>
      <color rgb="FF1A1A1A"/>
      <name val="Calibri"/>
      <family val="0"/>
      <charset val="1"/>
    </font>
    <font>
      <b val="true"/>
      <sz val="10"/>
      <color rgb="FF0F4C5C"/>
      <name val="Calibri"/>
      <family val="0"/>
      <charset val="1"/>
    </font>
    <font>
      <sz val="10"/>
      <color rgb="FF0000CC"/>
      <name val="Calibri"/>
      <family val="0"/>
      <charset val="1"/>
    </font>
    <font>
      <b val="true"/>
      <sz val="10"/>
      <color rgb="FF1A1A1A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555555"/>
      <name val="Calibri"/>
      <family val="0"/>
      <charset val="1"/>
    </font>
    <font>
      <i val="true"/>
      <sz val="9"/>
      <color rgb="FF555555"/>
      <name val="Calibri"/>
      <family val="0"/>
      <charset val="1"/>
    </font>
    <font>
      <b val="true"/>
      <sz val="11"/>
      <color rgb="FF1A1A1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color rgb="FF1A1A1A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0000CC"/>
      <name val="Calibri"/>
      <family val="0"/>
      <charset val="1"/>
    </font>
    <font>
      <sz val="9"/>
      <color rgb="FF0F4C5C"/>
      <name val="Calibri"/>
      <family val="0"/>
      <charset val="1"/>
    </font>
    <font>
      <b val="true"/>
      <sz val="12"/>
      <color rgb="FF0F4C5C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F4C5C"/>
        <bgColor rgb="FF333399"/>
      </patternFill>
    </fill>
    <fill>
      <patternFill patternType="solid">
        <fgColor rgb="FF2E7D8F"/>
        <bgColor rgb="FF008080"/>
      </patternFill>
    </fill>
    <fill>
      <patternFill patternType="solid">
        <fgColor rgb="FFFFF6CC"/>
        <bgColor rgb="FFF2F4F5"/>
      </patternFill>
    </fill>
    <fill>
      <patternFill patternType="solid">
        <fgColor rgb="FFE3F4E1"/>
        <bgColor rgb="FFF2F4F5"/>
      </patternFill>
    </fill>
    <fill>
      <patternFill patternType="solid">
        <fgColor rgb="FFD6EAEF"/>
        <bgColor rgb="FFE3F4E1"/>
      </patternFill>
    </fill>
    <fill>
      <patternFill patternType="solid">
        <fgColor rgb="FFF2F4F5"/>
        <bgColor rgb="FFFBFEFB"/>
      </patternFill>
    </fill>
    <fill>
      <patternFill patternType="solid">
        <fgColor rgb="FFFBFE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D6EA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5"/>
      <rgbColor rgb="FFE3F4E1"/>
      <rgbColor rgb="FFFBFEF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F4C5C"/>
      <rgbColor rgb="FF2E7D8F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4C5C"/>
    <pageSetUpPr fitToPage="false"/>
  </sheetPr>
  <dimension ref="A1:M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6" min="2" style="1" width="14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s">
        <v>4</v>
      </c>
      <c r="C5" s="6"/>
      <c r="D5" s="6"/>
      <c r="E5" s="6"/>
      <c r="F5" s="6"/>
    </row>
    <row r="6" customFormat="false" ht="15" hidden="false" customHeight="true" outlineLevel="0" collapsed="false">
      <c r="A6" s="5" t="s">
        <v>5</v>
      </c>
      <c r="B6" s="6" t="s">
        <v>6</v>
      </c>
      <c r="C6" s="6"/>
      <c r="D6" s="6"/>
      <c r="E6" s="6"/>
      <c r="F6" s="6"/>
    </row>
    <row r="7" customFormat="false" ht="15" hidden="false" customHeight="true" outlineLevel="0" collapsed="false">
      <c r="A7" s="5" t="s">
        <v>7</v>
      </c>
      <c r="B7" s="6" t="s">
        <v>8</v>
      </c>
      <c r="C7" s="6"/>
      <c r="D7" s="6"/>
      <c r="E7" s="6"/>
      <c r="F7" s="6"/>
    </row>
    <row r="8" customFormat="false" ht="15" hidden="false" customHeight="true" outlineLevel="0" collapsed="false">
      <c r="A8" s="5" t="s">
        <v>9</v>
      </c>
      <c r="B8" s="6" t="s">
        <v>10</v>
      </c>
      <c r="C8" s="6"/>
      <c r="D8" s="6"/>
      <c r="E8" s="6"/>
      <c r="F8" s="6"/>
    </row>
    <row r="9" customFormat="false" ht="15" hidden="false" customHeight="true" outlineLevel="0" collapsed="false">
      <c r="A9" s="5" t="s">
        <v>11</v>
      </c>
      <c r="B9" s="6" t="s">
        <v>12</v>
      </c>
      <c r="C9" s="6"/>
      <c r="D9" s="6"/>
      <c r="E9" s="6"/>
      <c r="F9" s="6"/>
    </row>
    <row r="10" customFormat="false" ht="15" hidden="false" customHeight="true" outlineLevel="0" collapsed="false">
      <c r="A10" s="5" t="s">
        <v>13</v>
      </c>
      <c r="B10" s="6" t="s">
        <v>14</v>
      </c>
      <c r="C10" s="6"/>
      <c r="D10" s="6"/>
      <c r="E10" s="6"/>
      <c r="F10" s="6"/>
    </row>
    <row r="12" customFormat="false" ht="15" hidden="false" customHeight="true" outlineLevel="0" collapsed="false">
      <c r="A12" s="7" t="s">
        <v>15</v>
      </c>
      <c r="B12" s="8" t="s">
        <v>16</v>
      </c>
      <c r="C12" s="9" t="s">
        <v>17</v>
      </c>
      <c r="D12" s="10" t="s">
        <v>18</v>
      </c>
    </row>
    <row r="14" customFormat="false" ht="21.75" hidden="false" customHeight="true" outlineLevel="0" collapsed="false">
      <c r="A14" s="11" t="s">
        <v>19</v>
      </c>
      <c r="B14" s="11"/>
      <c r="C14" s="11"/>
      <c r="D14" s="11"/>
      <c r="E14" s="11"/>
      <c r="F14" s="11"/>
    </row>
    <row r="15" customFormat="false" ht="15" hidden="false" customHeight="true" outlineLevel="0" collapsed="false">
      <c r="A15" s="7" t="s">
        <v>20</v>
      </c>
    </row>
    <row r="16" customFormat="false" ht="15" hidden="false" customHeight="true" outlineLevel="0" collapsed="false">
      <c r="A16" s="12" t="s">
        <v>21</v>
      </c>
      <c r="B16" s="12" t="n">
        <v>1</v>
      </c>
      <c r="C16" s="12" t="n">
        <v>2</v>
      </c>
      <c r="D16" s="12" t="n">
        <v>3</v>
      </c>
      <c r="E16" s="12" t="n">
        <v>4</v>
      </c>
      <c r="F16" s="12" t="n">
        <v>5</v>
      </c>
      <c r="G16" s="12" t="n">
        <v>6</v>
      </c>
      <c r="H16" s="12" t="n">
        <v>7</v>
      </c>
      <c r="I16" s="12" t="n">
        <v>8</v>
      </c>
      <c r="J16" s="12" t="n">
        <v>9</v>
      </c>
      <c r="K16" s="12" t="n">
        <v>10</v>
      </c>
      <c r="L16" s="12" t="n">
        <v>11</v>
      </c>
      <c r="M16" s="12" t="n">
        <v>12</v>
      </c>
    </row>
    <row r="17" customFormat="false" ht="15" hidden="false" customHeight="true" outlineLevel="0" collapsed="false">
      <c r="A17" s="13" t="s">
        <v>22</v>
      </c>
      <c r="B17" s="14" t="n">
        <v>258</v>
      </c>
      <c r="C17" s="14" t="n">
        <v>240</v>
      </c>
      <c r="D17" s="14" t="n">
        <v>194</v>
      </c>
      <c r="E17" s="14" t="n">
        <v>176</v>
      </c>
      <c r="F17" s="14" t="n">
        <v>249</v>
      </c>
      <c r="G17" s="14" t="n">
        <v>172</v>
      </c>
      <c r="H17" s="14" t="n">
        <v>219</v>
      </c>
      <c r="I17" s="14" t="n">
        <v>156</v>
      </c>
      <c r="J17" s="14" t="n">
        <v>175</v>
      </c>
      <c r="K17" s="14" t="n">
        <v>174</v>
      </c>
      <c r="L17" s="14" t="n">
        <v>194</v>
      </c>
      <c r="M17" s="14" t="n">
        <v>276</v>
      </c>
    </row>
    <row r="18" customFormat="false" ht="15" hidden="false" customHeight="true" outlineLevel="0" collapsed="false">
      <c r="A18" s="12" t="s">
        <v>21</v>
      </c>
      <c r="B18" s="12" t="n">
        <v>13</v>
      </c>
      <c r="C18" s="12" t="n">
        <v>14</v>
      </c>
      <c r="D18" s="12" t="n">
        <v>15</v>
      </c>
      <c r="E18" s="12" t="n">
        <v>16</v>
      </c>
      <c r="F18" s="12" t="n">
        <v>17</v>
      </c>
      <c r="G18" s="12" t="n">
        <v>18</v>
      </c>
      <c r="H18" s="12" t="n">
        <v>19</v>
      </c>
      <c r="I18" s="12" t="n">
        <v>20</v>
      </c>
      <c r="J18" s="12" t="n">
        <v>21</v>
      </c>
      <c r="K18" s="12" t="n">
        <v>22</v>
      </c>
      <c r="L18" s="12" t="n">
        <v>23</v>
      </c>
      <c r="M18" s="12" t="n">
        <v>24</v>
      </c>
    </row>
    <row r="19" customFormat="false" ht="15" hidden="false" customHeight="true" outlineLevel="0" collapsed="false">
      <c r="A19" s="13" t="s">
        <v>22</v>
      </c>
      <c r="B19" s="14" t="n">
        <v>138</v>
      </c>
      <c r="C19" s="14" t="n">
        <v>183</v>
      </c>
      <c r="D19" s="14" t="n">
        <v>230</v>
      </c>
      <c r="E19" s="14" t="n">
        <v>196</v>
      </c>
      <c r="F19" s="14" t="n">
        <v>174</v>
      </c>
      <c r="G19" s="14" t="n">
        <v>234</v>
      </c>
      <c r="H19" s="14" t="n">
        <v>244</v>
      </c>
      <c r="I19" s="14" t="n">
        <v>245</v>
      </c>
      <c r="J19" s="14" t="n">
        <v>176</v>
      </c>
      <c r="K19" s="14" t="n">
        <v>140</v>
      </c>
      <c r="L19" s="14" t="n">
        <v>215</v>
      </c>
      <c r="M19" s="14" t="n">
        <v>149</v>
      </c>
    </row>
    <row r="21" customFormat="false" ht="15" hidden="false" customHeight="true" outlineLevel="0" collapsed="false">
      <c r="A21" s="12" t="s">
        <v>23</v>
      </c>
      <c r="B21" s="12" t="s">
        <v>24</v>
      </c>
      <c r="C21" s="12" t="s">
        <v>25</v>
      </c>
      <c r="D21" s="12" t="s">
        <v>26</v>
      </c>
      <c r="E21" s="12"/>
      <c r="F21" s="12"/>
    </row>
    <row r="22" customFormat="false" ht="15" hidden="false" customHeight="true" outlineLevel="0" collapsed="false">
      <c r="A22" s="15" t="s">
        <v>27</v>
      </c>
      <c r="B22" s="16" t="s">
        <v>28</v>
      </c>
      <c r="C22" s="17" t="n">
        <v>100</v>
      </c>
      <c r="D22" s="18" t="s">
        <v>29</v>
      </c>
      <c r="E22" s="18"/>
      <c r="F22" s="18"/>
    </row>
    <row r="23" customFormat="false" ht="15" hidden="false" customHeight="true" outlineLevel="0" collapsed="false">
      <c r="A23" s="15" t="s">
        <v>30</v>
      </c>
      <c r="B23" s="16" t="s">
        <v>31</v>
      </c>
      <c r="C23" s="17" t="n">
        <v>750</v>
      </c>
      <c r="D23" s="18" t="s">
        <v>32</v>
      </c>
      <c r="E23" s="18"/>
      <c r="F23" s="18"/>
    </row>
    <row r="24" customFormat="false" ht="15" hidden="false" customHeight="true" outlineLevel="0" collapsed="false">
      <c r="A24" s="15" t="s">
        <v>33</v>
      </c>
      <c r="B24" s="16" t="s">
        <v>34</v>
      </c>
      <c r="C24" s="17" t="n">
        <v>1</v>
      </c>
      <c r="D24" s="18" t="s">
        <v>35</v>
      </c>
      <c r="E24" s="18"/>
      <c r="F24" s="18"/>
    </row>
    <row r="25" customFormat="false" ht="15" hidden="false" customHeight="true" outlineLevel="0" collapsed="false">
      <c r="A25" s="15" t="s">
        <v>36</v>
      </c>
      <c r="B25" s="16" t="s">
        <v>37</v>
      </c>
      <c r="C25" s="17" t="n">
        <v>1</v>
      </c>
      <c r="D25" s="18" t="s">
        <v>38</v>
      </c>
      <c r="E25" s="18"/>
      <c r="F25" s="18"/>
    </row>
    <row r="26" customFormat="false" ht="15" hidden="false" customHeight="true" outlineLevel="0" collapsed="false">
      <c r="A26" s="15" t="s">
        <v>39</v>
      </c>
      <c r="B26" s="16" t="s">
        <v>40</v>
      </c>
      <c r="C26" s="19" t="n">
        <v>0.1</v>
      </c>
      <c r="D26" s="18" t="s">
        <v>41</v>
      </c>
      <c r="E26" s="18"/>
      <c r="F26" s="18"/>
    </row>
    <row r="27" customFormat="false" ht="15" hidden="false" customHeight="true" outlineLevel="0" collapsed="false">
      <c r="A27" s="20" t="s">
        <v>42</v>
      </c>
      <c r="B27" s="20"/>
      <c r="C27" s="20"/>
      <c r="D27" s="20"/>
      <c r="E27" s="20"/>
      <c r="F27" s="20"/>
    </row>
    <row r="29" customFormat="false" ht="21.75" hidden="false" customHeight="true" outlineLevel="0" collapsed="false">
      <c r="A29" s="11" t="s">
        <v>43</v>
      </c>
      <c r="B29" s="11"/>
      <c r="C29" s="11"/>
      <c r="D29" s="11"/>
      <c r="E29" s="11"/>
      <c r="F29" s="11"/>
    </row>
    <row r="30" customFormat="false" ht="15" hidden="false" customHeight="true" outlineLevel="0" collapsed="false">
      <c r="A30" s="12" t="s">
        <v>23</v>
      </c>
      <c r="B30" s="12" t="s">
        <v>24</v>
      </c>
      <c r="C30" s="12" t="s">
        <v>25</v>
      </c>
      <c r="D30" s="12" t="s">
        <v>26</v>
      </c>
      <c r="E30" s="12"/>
      <c r="F30" s="12"/>
    </row>
    <row r="31" customFormat="false" ht="15" hidden="false" customHeight="true" outlineLevel="0" collapsed="false">
      <c r="A31" s="15" t="s">
        <v>44</v>
      </c>
      <c r="B31" s="16" t="s">
        <v>45</v>
      </c>
      <c r="C31" s="17" t="n">
        <v>140</v>
      </c>
      <c r="D31" s="18" t="s">
        <v>46</v>
      </c>
      <c r="E31" s="18"/>
      <c r="F31" s="18"/>
    </row>
    <row r="32" customFormat="false" ht="15" hidden="false" customHeight="true" outlineLevel="0" collapsed="false">
      <c r="A32" s="15" t="s">
        <v>47</v>
      </c>
      <c r="B32" s="16" t="s">
        <v>48</v>
      </c>
      <c r="C32" s="17" t="n">
        <v>40</v>
      </c>
      <c r="D32" s="18" t="s">
        <v>46</v>
      </c>
      <c r="E32" s="18"/>
      <c r="F32" s="18"/>
    </row>
    <row r="33" customFormat="false" ht="15" hidden="false" customHeight="true" outlineLevel="0" collapsed="false">
      <c r="A33" s="15" t="s">
        <v>49</v>
      </c>
      <c r="B33" s="16" t="s">
        <v>28</v>
      </c>
      <c r="C33" s="17" t="n">
        <v>80</v>
      </c>
      <c r="D33" s="18" t="s">
        <v>29</v>
      </c>
      <c r="E33" s="18"/>
      <c r="F33" s="18"/>
    </row>
    <row r="34" customFormat="false" ht="15" hidden="false" customHeight="true" outlineLevel="0" collapsed="false">
      <c r="A34" s="15" t="s">
        <v>39</v>
      </c>
      <c r="B34" s="16" t="s">
        <v>40</v>
      </c>
      <c r="C34" s="19" t="n">
        <v>0.1</v>
      </c>
      <c r="D34" s="18" t="s">
        <v>50</v>
      </c>
      <c r="E34" s="18"/>
      <c r="F34" s="18"/>
    </row>
    <row r="35" customFormat="false" ht="15" hidden="false" customHeight="true" outlineLevel="0" collapsed="false">
      <c r="A35" s="15" t="s">
        <v>51</v>
      </c>
      <c r="B35" s="16" t="s">
        <v>31</v>
      </c>
      <c r="C35" s="17" t="n">
        <v>100</v>
      </c>
      <c r="D35" s="18" t="s">
        <v>52</v>
      </c>
      <c r="E35" s="18"/>
      <c r="F35" s="18"/>
    </row>
    <row r="36" customFormat="false" ht="15" hidden="false" customHeight="true" outlineLevel="0" collapsed="false">
      <c r="A36" s="15" t="s">
        <v>53</v>
      </c>
      <c r="B36" s="16" t="s">
        <v>54</v>
      </c>
      <c r="C36" s="17" t="n">
        <v>5</v>
      </c>
      <c r="D36" s="18" t="s">
        <v>55</v>
      </c>
      <c r="E36" s="18"/>
      <c r="F36" s="18"/>
    </row>
    <row r="37" customFormat="false" ht="15" hidden="false" customHeight="true" outlineLevel="0" collapsed="false">
      <c r="A37" s="15" t="s">
        <v>56</v>
      </c>
      <c r="B37" s="16" t="s">
        <v>37</v>
      </c>
      <c r="C37" s="17" t="n">
        <v>3</v>
      </c>
      <c r="D37" s="18" t="s">
        <v>57</v>
      </c>
      <c r="E37" s="18"/>
      <c r="F37" s="18"/>
    </row>
    <row r="38" customFormat="false" ht="15" hidden="false" customHeight="true" outlineLevel="0" collapsed="false">
      <c r="A38" s="15" t="s">
        <v>33</v>
      </c>
      <c r="B38" s="16" t="s">
        <v>34</v>
      </c>
      <c r="C38" s="17" t="n">
        <v>2</v>
      </c>
      <c r="D38" s="18" t="s">
        <v>58</v>
      </c>
      <c r="E38" s="18"/>
      <c r="F38" s="18"/>
    </row>
  </sheetData>
  <mergeCells count="26">
    <mergeCell ref="A1:F1"/>
    <mergeCell ref="A2:F2"/>
    <mergeCell ref="B5:F5"/>
    <mergeCell ref="B6:F6"/>
    <mergeCell ref="B7:F7"/>
    <mergeCell ref="B8:F8"/>
    <mergeCell ref="B9:F9"/>
    <mergeCell ref="B10:F10"/>
    <mergeCell ref="A14:F14"/>
    <mergeCell ref="D21:F21"/>
    <mergeCell ref="D22:F22"/>
    <mergeCell ref="D23:F23"/>
    <mergeCell ref="D24:F24"/>
    <mergeCell ref="D25:F25"/>
    <mergeCell ref="D26:F26"/>
    <mergeCell ref="A27:F27"/>
    <mergeCell ref="A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8F"/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5" min="2" style="1" width="12"/>
    <col collapsed="false" customWidth="true" hidden="false" outlineLevel="0" max="10" min="6" style="1" width="10"/>
  </cols>
  <sheetData>
    <row r="1" customFormat="false" ht="30" hidden="false" customHeight="true" outlineLevel="0" collapsed="false">
      <c r="A1" s="2" t="s">
        <v>59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60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21.75" hidden="false" customHeight="true" outlineLevel="0" collapsed="false">
      <c r="A3" s="20" t="s">
        <v>61</v>
      </c>
      <c r="B3" s="20"/>
      <c r="C3" s="20"/>
      <c r="D3" s="20"/>
      <c r="E3" s="20"/>
      <c r="F3" s="20"/>
      <c r="G3" s="20"/>
      <c r="H3" s="20"/>
      <c r="I3" s="20"/>
      <c r="J3" s="20"/>
    </row>
    <row r="5" customFormat="false" ht="15" hidden="false" customHeight="true" outlineLevel="0" collapsed="false">
      <c r="A5" s="21" t="s">
        <v>62</v>
      </c>
      <c r="B5" s="21"/>
      <c r="C5" s="21"/>
      <c r="D5" s="21"/>
      <c r="F5" s="22" t="n">
        <f aca="false">AVERAGE(Data!B17:L17)</f>
        <v>200.636363636364</v>
      </c>
    </row>
    <row r="6" customFormat="false" ht="15" hidden="false" customHeight="true" outlineLevel="0" collapsed="false">
      <c r="B6" s="23" t="s">
        <v>63</v>
      </c>
      <c r="C6" s="24" t="n">
        <v>0.1</v>
      </c>
      <c r="D6" s="24" t="n">
        <v>0.15</v>
      </c>
      <c r="E6" s="24" t="n">
        <v>0.2</v>
      </c>
    </row>
    <row r="7" customFormat="false" ht="21.75" hidden="false" customHeight="true" outlineLevel="0" collapsed="false">
      <c r="A7" s="11" t="s">
        <v>64</v>
      </c>
      <c r="B7" s="11"/>
      <c r="C7" s="11"/>
      <c r="D7" s="11"/>
      <c r="E7" s="11"/>
      <c r="F7" s="11"/>
      <c r="G7" s="11"/>
      <c r="H7" s="11"/>
      <c r="I7" s="11"/>
      <c r="J7" s="11"/>
    </row>
    <row r="8" customFormat="false" ht="15" hidden="false" customHeight="true" outlineLevel="0" collapsed="false">
      <c r="A8" s="12" t="s">
        <v>65</v>
      </c>
      <c r="B8" s="12" t="s">
        <v>66</v>
      </c>
      <c r="C8" s="12" t="s">
        <v>67</v>
      </c>
      <c r="D8" s="12" t="s">
        <v>68</v>
      </c>
      <c r="E8" s="12" t="s">
        <v>69</v>
      </c>
    </row>
    <row r="9" customFormat="false" ht="15" hidden="false" customHeight="true" outlineLevel="0" collapsed="false">
      <c r="A9" s="25" t="n">
        <v>11</v>
      </c>
      <c r="B9" s="26" t="n">
        <f aca="false">Data!L17</f>
        <v>194</v>
      </c>
      <c r="C9" s="27" t="n">
        <f aca="false">F5</f>
        <v>200.636363636364</v>
      </c>
      <c r="D9" s="27" t="n">
        <f aca="false">F5</f>
        <v>200.636363636364</v>
      </c>
      <c r="E9" s="27" t="n">
        <f aca="false">F5</f>
        <v>200.636363636364</v>
      </c>
    </row>
    <row r="10" customFormat="false" ht="15" hidden="false" customHeight="true" outlineLevel="0" collapsed="false">
      <c r="A10" s="25" t="n">
        <v>12</v>
      </c>
      <c r="B10" s="26" t="n">
        <f aca="false">Data!M17</f>
        <v>276</v>
      </c>
      <c r="C10" s="27" t="n">
        <f aca="false">C9+$C$6*(B10-C9)</f>
        <v>208.172727272727</v>
      </c>
      <c r="D10" s="27" t="n">
        <f aca="false">D9+$D$6*(B10-D9)</f>
        <v>211.940909090909</v>
      </c>
      <c r="E10" s="27" t="n">
        <f aca="false">E9+$E$6*(B10-E9)</f>
        <v>215.709090909091</v>
      </c>
    </row>
    <row r="11" customFormat="false" ht="15" hidden="false" customHeight="true" outlineLevel="0" collapsed="false">
      <c r="A11" s="28" t="n">
        <v>13</v>
      </c>
      <c r="B11" s="29" t="n">
        <f aca="false">Data!B19</f>
        <v>138</v>
      </c>
      <c r="C11" s="30" t="n">
        <f aca="false">C10+$C$6*(B11-C10)</f>
        <v>201.155454545455</v>
      </c>
      <c r="D11" s="30" t="n">
        <f aca="false">D10+$D$6*(B11-D10)</f>
        <v>200.849772727273</v>
      </c>
      <c r="E11" s="30" t="n">
        <f aca="false">E10+$E$6*(B11-E10)</f>
        <v>200.167272727273</v>
      </c>
    </row>
    <row r="12" customFormat="false" ht="15" hidden="false" customHeight="true" outlineLevel="0" collapsed="false">
      <c r="A12" s="28" t="n">
        <v>14</v>
      </c>
      <c r="B12" s="29" t="n">
        <f aca="false">Data!C19</f>
        <v>183</v>
      </c>
      <c r="C12" s="30" t="n">
        <f aca="false">C11+$C$6*(B12-C11)</f>
        <v>199.339909090909</v>
      </c>
      <c r="D12" s="30" t="n">
        <f aca="false">D11+$D$6*(B12-D11)</f>
        <v>198.172306818182</v>
      </c>
      <c r="E12" s="30" t="n">
        <f aca="false">E11+$E$6*(B12-E11)</f>
        <v>196.733818181818</v>
      </c>
    </row>
    <row r="13" customFormat="false" ht="15" hidden="false" customHeight="true" outlineLevel="0" collapsed="false">
      <c r="A13" s="28" t="n">
        <v>15</v>
      </c>
      <c r="B13" s="29" t="n">
        <f aca="false">Data!D19</f>
        <v>230</v>
      </c>
      <c r="C13" s="30" t="n">
        <f aca="false">C12+$C$6*(B13-C12)</f>
        <v>202.405918181818</v>
      </c>
      <c r="D13" s="30" t="n">
        <f aca="false">D12+$D$6*(B13-D12)</f>
        <v>202.946460795455</v>
      </c>
      <c r="E13" s="30" t="n">
        <f aca="false">E12+$E$6*(B13-E12)</f>
        <v>203.387054545455</v>
      </c>
    </row>
    <row r="14" customFormat="false" ht="15" hidden="false" customHeight="true" outlineLevel="0" collapsed="false">
      <c r="A14" s="28" t="n">
        <v>16</v>
      </c>
      <c r="B14" s="29" t="n">
        <f aca="false">Data!E19</f>
        <v>196</v>
      </c>
      <c r="C14" s="30" t="n">
        <f aca="false">C13+$C$6*(B14-C13)</f>
        <v>201.765326363636</v>
      </c>
      <c r="D14" s="30" t="n">
        <f aca="false">D13+$D$6*(B14-D13)</f>
        <v>201.904491676136</v>
      </c>
      <c r="E14" s="30" t="n">
        <f aca="false">E13+$E$6*(B14-E13)</f>
        <v>201.909643636364</v>
      </c>
    </row>
    <row r="15" customFormat="false" ht="15" hidden="false" customHeight="true" outlineLevel="0" collapsed="false">
      <c r="A15" s="28" t="n">
        <v>17</v>
      </c>
      <c r="B15" s="29" t="n">
        <f aca="false">Data!F19</f>
        <v>174</v>
      </c>
      <c r="C15" s="30" t="n">
        <f aca="false">C14+$C$6*(B15-C14)</f>
        <v>198.988793727273</v>
      </c>
      <c r="D15" s="30" t="n">
        <f aca="false">D14+$D$6*(B15-D14)</f>
        <v>197.718817924716</v>
      </c>
      <c r="E15" s="30" t="n">
        <f aca="false">E14+$E$6*(B15-E14)</f>
        <v>196.327714909091</v>
      </c>
    </row>
    <row r="16" customFormat="false" ht="15" hidden="false" customHeight="true" outlineLevel="0" collapsed="false">
      <c r="A16" s="28" t="n">
        <v>18</v>
      </c>
      <c r="B16" s="29" t="n">
        <f aca="false">Data!G19</f>
        <v>234</v>
      </c>
      <c r="C16" s="30" t="n">
        <f aca="false">C15+$C$6*(B16-C15)</f>
        <v>202.489914354545</v>
      </c>
      <c r="D16" s="30" t="n">
        <f aca="false">D15+$D$6*(B16-D15)</f>
        <v>203.160995236009</v>
      </c>
      <c r="E16" s="30" t="n">
        <f aca="false">E15+$E$6*(B16-E15)</f>
        <v>203.862171927273</v>
      </c>
    </row>
    <row r="17" customFormat="false" ht="15" hidden="false" customHeight="true" outlineLevel="0" collapsed="false">
      <c r="A17" s="28" t="n">
        <v>19</v>
      </c>
      <c r="B17" s="29" t="n">
        <f aca="false">Data!H19</f>
        <v>244</v>
      </c>
      <c r="C17" s="30" t="n">
        <f aca="false">C16+$C$6*(B17-C16)</f>
        <v>206.640922919091</v>
      </c>
      <c r="D17" s="30" t="n">
        <f aca="false">D16+$D$6*(B17-D16)</f>
        <v>209.286845950607</v>
      </c>
      <c r="E17" s="30" t="n">
        <f aca="false">E16+$E$6*(B17-E16)</f>
        <v>211.889737541818</v>
      </c>
    </row>
    <row r="18" customFormat="false" ht="15" hidden="false" customHeight="true" outlineLevel="0" collapsed="false">
      <c r="A18" s="28" t="n">
        <v>20</v>
      </c>
      <c r="B18" s="29" t="n">
        <f aca="false">Data!I19</f>
        <v>245</v>
      </c>
      <c r="C18" s="30" t="n">
        <f aca="false">C17+$C$6*(B18-C17)</f>
        <v>210.476830627182</v>
      </c>
      <c r="D18" s="30" t="n">
        <f aca="false">D17+$D$6*(B18-D17)</f>
        <v>214.643819058016</v>
      </c>
      <c r="E18" s="30" t="n">
        <f aca="false">E17+$E$6*(B18-E17)</f>
        <v>218.511790033455</v>
      </c>
    </row>
    <row r="19" customFormat="false" ht="15" hidden="false" customHeight="true" outlineLevel="0" collapsed="false">
      <c r="A19" s="28" t="n">
        <v>21</v>
      </c>
      <c r="B19" s="29" t="n">
        <f aca="false">Data!J19</f>
        <v>176</v>
      </c>
      <c r="C19" s="30" t="n">
        <f aca="false">C18+$C$6*(B19-C18)</f>
        <v>207.029147564464</v>
      </c>
      <c r="D19" s="30" t="n">
        <f aca="false">D18+$D$6*(B19-D18)</f>
        <v>208.847246199314</v>
      </c>
      <c r="E19" s="30" t="n">
        <f aca="false">E18+$E$6*(B19-E18)</f>
        <v>210.009432026764</v>
      </c>
    </row>
    <row r="20" customFormat="false" ht="15" hidden="false" customHeight="true" outlineLevel="0" collapsed="false">
      <c r="A20" s="28" t="n">
        <v>22</v>
      </c>
      <c r="B20" s="29" t="n">
        <f aca="false">Data!K19</f>
        <v>140</v>
      </c>
      <c r="C20" s="30" t="n">
        <f aca="false">C19+$C$6*(B20-C19)</f>
        <v>200.326232808017</v>
      </c>
      <c r="D20" s="30" t="n">
        <f aca="false">D19+$D$6*(B20-D19)</f>
        <v>198.520159269417</v>
      </c>
      <c r="E20" s="30" t="n">
        <f aca="false">E19+$E$6*(B20-E19)</f>
        <v>196.007545621411</v>
      </c>
    </row>
    <row r="21" customFormat="false" ht="15" hidden="false" customHeight="true" outlineLevel="0" collapsed="false">
      <c r="A21" s="28" t="n">
        <v>23</v>
      </c>
      <c r="B21" s="29" t="n">
        <f aca="false">Data!L19</f>
        <v>215</v>
      </c>
      <c r="C21" s="30" t="n">
        <f aca="false">C20+$C$6*(B21-C20)</f>
        <v>201.793609527216</v>
      </c>
      <c r="D21" s="30" t="n">
        <f aca="false">D20+$D$6*(B21-D20)</f>
        <v>200.992135379004</v>
      </c>
      <c r="E21" s="30" t="n">
        <f aca="false">E20+$E$6*(B21-E20)</f>
        <v>199.806036497129</v>
      </c>
    </row>
    <row r="22" customFormat="false" ht="15" hidden="false" customHeight="true" outlineLevel="0" collapsed="false">
      <c r="A22" s="28" t="n">
        <v>24</v>
      </c>
      <c r="B22" s="29" t="n">
        <f aca="false">Data!M19</f>
        <v>149</v>
      </c>
      <c r="C22" s="30" t="n">
        <f aca="false">C21+$C$6*(B22-C21)</f>
        <v>196.514248574494</v>
      </c>
      <c r="D22" s="30" t="n">
        <f aca="false">D21+$D$6*(B22-D21)</f>
        <v>193.193315072154</v>
      </c>
      <c r="E22" s="30" t="n">
        <f aca="false">E21+$E$6*(B22-E21)</f>
        <v>189.644829197703</v>
      </c>
    </row>
    <row r="23" customFormat="false" ht="15" hidden="false" customHeight="true" outlineLevel="0" collapsed="false">
      <c r="A23" s="31" t="s">
        <v>70</v>
      </c>
      <c r="B23" s="31"/>
      <c r="C23" s="31"/>
      <c r="D23" s="31"/>
      <c r="E23" s="31"/>
      <c r="F23" s="31"/>
      <c r="G23" s="31"/>
      <c r="H23" s="31"/>
      <c r="I23" s="31"/>
      <c r="J23" s="31"/>
    </row>
    <row r="25" customFormat="false" ht="21.75" hidden="false" customHeight="true" outlineLevel="0" collapsed="false">
      <c r="A25" s="11" t="s">
        <v>71</v>
      </c>
      <c r="B25" s="11"/>
      <c r="C25" s="11"/>
      <c r="D25" s="11"/>
      <c r="E25" s="11"/>
      <c r="F25" s="11"/>
      <c r="G25" s="11"/>
      <c r="H25" s="11"/>
      <c r="I25" s="11"/>
      <c r="J25" s="11"/>
    </row>
    <row r="26" customFormat="false" ht="15" hidden="false" customHeight="true" outlineLevel="0" collapsed="false">
      <c r="A26" s="12" t="s">
        <v>72</v>
      </c>
      <c r="B26" s="12" t="s">
        <v>73</v>
      </c>
      <c r="C26" s="12" t="s">
        <v>74</v>
      </c>
      <c r="D26" s="12" t="s">
        <v>75</v>
      </c>
      <c r="E26" s="12" t="s">
        <v>76</v>
      </c>
      <c r="F26" s="12"/>
      <c r="G26" s="12"/>
      <c r="H26" s="12"/>
      <c r="I26" s="12"/>
      <c r="J26" s="12"/>
    </row>
    <row r="27" customFormat="false" ht="15" hidden="false" customHeight="true" outlineLevel="0" collapsed="false">
      <c r="A27" s="16" t="s">
        <v>77</v>
      </c>
      <c r="B27" s="27" t="n">
        <f aca="false">SUMPRODUCT((B11:B22-C11:C22)^2)/12</f>
        <v>1357.43554257686</v>
      </c>
      <c r="C27" s="27" t="n">
        <f aca="false">SUMPRODUCT((B11:B22-D11:D22)^2)/12</f>
        <v>1269.99976230183</v>
      </c>
      <c r="D27" s="27" t="n">
        <f aca="false">SUMPRODUCT((B11:B22-E11:E22)^2)/12</f>
        <v>1176.03461424969</v>
      </c>
      <c r="E27" s="18" t="s">
        <v>78</v>
      </c>
      <c r="F27" s="18"/>
      <c r="G27" s="18"/>
      <c r="H27" s="18"/>
      <c r="I27" s="18"/>
      <c r="J27" s="18"/>
    </row>
    <row r="28" customFormat="false" ht="15" hidden="false" customHeight="true" outlineLevel="0" collapsed="false">
      <c r="A28" s="16" t="s">
        <v>79</v>
      </c>
      <c r="B28" s="27" t="n">
        <f aca="false">SUMPRODUCT(ABS(B11:B22-C11:C22))/12</f>
        <v>32.7759930886996</v>
      </c>
      <c r="C28" s="27" t="n">
        <f aca="false">SUMPRODUCT(ABS(B11:B22-D11:D22))/12</f>
        <v>31.681321105675</v>
      </c>
      <c r="D28" s="27" t="n">
        <f aca="false">SUMPRODUCT(ABS(B11:B22-E11:E22))/12</f>
        <v>30.4452888129412</v>
      </c>
      <c r="E28" s="18" t="s">
        <v>80</v>
      </c>
      <c r="F28" s="18"/>
      <c r="G28" s="18"/>
      <c r="H28" s="18"/>
      <c r="I28" s="18"/>
      <c r="J28" s="18"/>
    </row>
    <row r="29" customFormat="false" ht="15" hidden="false" customHeight="true" outlineLevel="0" collapsed="false">
      <c r="A29" s="16" t="s">
        <v>81</v>
      </c>
      <c r="B29" s="32" t="n">
        <f aca="false">SUMPRODUCT(ABS((B11:B22-C11:C22)/B11:B22))/12</f>
        <v>0.188011411252083</v>
      </c>
      <c r="C29" s="32" t="n">
        <f aca="false">SUMPRODUCT(ABS((B11:B22-D11:D22)/B11:B22))/12</f>
        <v>0.182229327711359</v>
      </c>
      <c r="D29" s="32" t="n">
        <f aca="false">SUMPRODUCT(ABS((B11:B22-E11:E22)/B11:B22))/12</f>
        <v>0.175413940114483</v>
      </c>
      <c r="E29" s="18" t="s">
        <v>82</v>
      </c>
      <c r="F29" s="18"/>
      <c r="G29" s="18"/>
      <c r="H29" s="18"/>
      <c r="I29" s="18"/>
      <c r="J29" s="18"/>
    </row>
    <row r="30" customFormat="false" ht="23.25" hidden="false" customHeight="true" outlineLevel="0" collapsed="false">
      <c r="A30" s="33" t="s">
        <v>83</v>
      </c>
      <c r="B30" s="34" t="n">
        <f aca="false">INDEX({0.1,0.15,0.2},MATCH(MIN(B27:D27),B27:D27,0))</f>
        <v>0.2</v>
      </c>
      <c r="C30" s="34"/>
      <c r="D30" s="34"/>
      <c r="E30" s="35" t="s">
        <v>84</v>
      </c>
      <c r="F30" s="35"/>
      <c r="G30" s="35"/>
      <c r="H30" s="35"/>
      <c r="I30" s="35"/>
      <c r="J30" s="35"/>
    </row>
    <row r="32" customFormat="false" ht="21.75" hidden="false" customHeight="true" outlineLevel="0" collapsed="false">
      <c r="A32" s="11" t="s">
        <v>85</v>
      </c>
      <c r="B32" s="11"/>
      <c r="C32" s="11"/>
      <c r="D32" s="11"/>
      <c r="E32" s="11"/>
      <c r="F32" s="11"/>
      <c r="G32" s="11"/>
      <c r="H32" s="11"/>
      <c r="I32" s="11"/>
      <c r="J32" s="11"/>
    </row>
    <row r="33" customFormat="false" ht="23.25" hidden="false" customHeight="true" outlineLevel="0" collapsed="false">
      <c r="A33" s="36" t="s">
        <v>86</v>
      </c>
      <c r="B33" s="36"/>
      <c r="C33" s="36"/>
      <c r="D33" s="36"/>
      <c r="F33" s="37" t="n">
        <f aca="false">INDEX(C22:E22,MATCH(B30,{0.1,0.15,0.2},0))</f>
        <v>189.644829197703</v>
      </c>
    </row>
    <row r="34" customFormat="false" ht="15" hidden="false" customHeight="true" outlineLevel="0" collapsed="false">
      <c r="F34" s="38" t="s">
        <v>87</v>
      </c>
    </row>
    <row r="35" customFormat="false" ht="15" hidden="false" customHeight="true" outlineLevel="0" collapsed="false">
      <c r="A35" s="20" t="s">
        <v>88</v>
      </c>
      <c r="B35" s="20"/>
      <c r="C35" s="20"/>
      <c r="D35" s="20"/>
      <c r="E35" s="20"/>
      <c r="F35" s="20"/>
      <c r="G35" s="20"/>
      <c r="H35" s="20"/>
      <c r="I35" s="20"/>
      <c r="J35" s="20"/>
    </row>
  </sheetData>
  <mergeCells count="16">
    <mergeCell ref="A1:J1"/>
    <mergeCell ref="A2:J2"/>
    <mergeCell ref="A3:J3"/>
    <mergeCell ref="A5:D5"/>
    <mergeCell ref="A7:J7"/>
    <mergeCell ref="A23:J23"/>
    <mergeCell ref="A25:J25"/>
    <mergeCell ref="E26:J26"/>
    <mergeCell ref="E27:J27"/>
    <mergeCell ref="E28:J28"/>
    <mergeCell ref="E29:J29"/>
    <mergeCell ref="B30:D30"/>
    <mergeCell ref="E30:J30"/>
    <mergeCell ref="A32:J32"/>
    <mergeCell ref="A33:D33"/>
    <mergeCell ref="A35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8F"/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7" min="2" style="1" width="15"/>
    <col collapsed="false" customWidth="true" hidden="false" outlineLevel="0" max="8" min="8" style="1" width="6"/>
  </cols>
  <sheetData>
    <row r="1" customFormat="false" ht="30" hidden="false" customHeight="true" outlineLevel="0" collapsed="false">
      <c r="A1" s="2" t="s">
        <v>89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90</v>
      </c>
      <c r="B2" s="3"/>
      <c r="C2" s="3"/>
      <c r="D2" s="3"/>
      <c r="E2" s="3"/>
      <c r="F2" s="3"/>
      <c r="G2" s="3"/>
      <c r="H2" s="3"/>
    </row>
    <row r="4" customFormat="false" ht="21.75" hidden="false" customHeight="true" outlineLevel="0" collapsed="false">
      <c r="A4" s="11" t="s">
        <v>91</v>
      </c>
      <c r="B4" s="11"/>
      <c r="C4" s="11"/>
      <c r="D4" s="11"/>
      <c r="E4" s="11"/>
      <c r="F4" s="11"/>
      <c r="G4" s="11"/>
      <c r="H4" s="11"/>
    </row>
    <row r="5" customFormat="false" ht="15" hidden="false" customHeight="true" outlineLevel="0" collapsed="false">
      <c r="A5" s="6" t="s">
        <v>92</v>
      </c>
      <c r="B5" s="6"/>
      <c r="C5" s="6"/>
      <c r="D5" s="39" t="n">
        <f aca="false">ROUND(A1_Forecast!F33,0)</f>
        <v>190</v>
      </c>
      <c r="E5" s="40" t="s">
        <v>93</v>
      </c>
      <c r="F5" s="35" t="s">
        <v>94</v>
      </c>
      <c r="G5" s="35"/>
      <c r="H5" s="35"/>
    </row>
    <row r="6" customFormat="false" ht="15" hidden="false" customHeight="true" outlineLevel="0" collapsed="false">
      <c r="A6" s="6" t="s">
        <v>95</v>
      </c>
      <c r="B6" s="6"/>
      <c r="C6" s="6"/>
      <c r="D6" s="41" t="n">
        <f aca="false">12*D5</f>
        <v>2280</v>
      </c>
      <c r="E6" s="40" t="s">
        <v>96</v>
      </c>
    </row>
    <row r="8" customFormat="false" ht="21.75" hidden="false" customHeight="true" outlineLevel="0" collapsed="false">
      <c r="A8" s="11" t="s">
        <v>97</v>
      </c>
      <c r="B8" s="11"/>
      <c r="C8" s="11"/>
      <c r="D8" s="11"/>
      <c r="E8" s="11"/>
      <c r="F8" s="11"/>
      <c r="G8" s="11"/>
      <c r="H8" s="11"/>
    </row>
    <row r="9" customFormat="false" ht="15" hidden="false" customHeight="true" outlineLevel="0" collapsed="false">
      <c r="A9" s="20" t="s">
        <v>98</v>
      </c>
      <c r="B9" s="20"/>
      <c r="C9" s="20"/>
      <c r="D9" s="20"/>
      <c r="E9" s="20"/>
      <c r="F9" s="20"/>
      <c r="G9" s="20"/>
      <c r="H9" s="20"/>
    </row>
    <row r="10" customFormat="false" ht="15" hidden="false" customHeight="true" outlineLevel="0" collapsed="false">
      <c r="A10" s="6" t="s">
        <v>99</v>
      </c>
      <c r="B10" s="6"/>
      <c r="C10" s="6"/>
      <c r="D10" s="41" t="n">
        <f aca="false">Data!C24*D5</f>
        <v>190</v>
      </c>
      <c r="E10" s="40" t="s">
        <v>100</v>
      </c>
      <c r="F10" s="35" t="s">
        <v>101</v>
      </c>
      <c r="G10" s="35"/>
      <c r="H10" s="35"/>
    </row>
    <row r="11" customFormat="false" ht="15" hidden="false" customHeight="true" outlineLevel="0" collapsed="false">
      <c r="A11" s="6" t="s">
        <v>102</v>
      </c>
      <c r="B11" s="6"/>
      <c r="C11" s="6"/>
      <c r="D11" s="42" t="n">
        <f aca="false">SQRT(2*Data!C23*D6/(Data!C22*Data!C26))</f>
        <v>584.807660688538</v>
      </c>
      <c r="E11" s="40" t="s">
        <v>100</v>
      </c>
    </row>
    <row r="12" customFormat="false" ht="15" hidden="false" customHeight="true" outlineLevel="0" collapsed="false">
      <c r="A12" s="6" t="s">
        <v>103</v>
      </c>
      <c r="B12" s="6"/>
      <c r="C12" s="6"/>
      <c r="D12" s="41" t="n">
        <f aca="false">MROUND(D11,10)</f>
        <v>580</v>
      </c>
      <c r="E12" s="40" t="s">
        <v>100</v>
      </c>
    </row>
    <row r="14" customFormat="false" ht="21.75" hidden="false" customHeight="true" outlineLevel="0" collapsed="false">
      <c r="A14" s="11" t="s">
        <v>104</v>
      </c>
      <c r="B14" s="11"/>
      <c r="C14" s="11"/>
      <c r="D14" s="11"/>
      <c r="E14" s="11"/>
      <c r="F14" s="11"/>
      <c r="G14" s="11"/>
      <c r="H14" s="11"/>
    </row>
    <row r="15" customFormat="false" ht="15" hidden="false" customHeight="true" outlineLevel="0" collapsed="false">
      <c r="A15" s="12" t="s">
        <v>105</v>
      </c>
      <c r="B15" s="12"/>
      <c r="C15" s="12"/>
      <c r="D15" s="12"/>
      <c r="E15" s="12" t="s">
        <v>106</v>
      </c>
      <c r="F15" s="12" t="s">
        <v>107</v>
      </c>
      <c r="G15" s="12"/>
      <c r="H15" s="12"/>
    </row>
    <row r="16" customFormat="false" ht="15" hidden="false" customHeight="true" outlineLevel="0" collapsed="false">
      <c r="A16" s="6" t="s">
        <v>108</v>
      </c>
      <c r="B16" s="6"/>
      <c r="C16" s="6"/>
      <c r="D16" s="43" t="n">
        <f aca="false">D6/D12*Data!C23</f>
        <v>2948.27586206897</v>
      </c>
      <c r="E16" s="40"/>
      <c r="F16" s="35" t="s">
        <v>109</v>
      </c>
      <c r="G16" s="35"/>
      <c r="H16" s="35"/>
    </row>
    <row r="17" customFormat="false" ht="15" hidden="false" customHeight="true" outlineLevel="0" collapsed="false">
      <c r="A17" s="6" t="s">
        <v>110</v>
      </c>
      <c r="B17" s="6"/>
      <c r="C17" s="6"/>
      <c r="D17" s="43" t="n">
        <f aca="false">Data!C22*Data!C26*D12/2</f>
        <v>2900</v>
      </c>
      <c r="E17" s="40"/>
      <c r="F17" s="35" t="s">
        <v>111</v>
      </c>
      <c r="G17" s="35"/>
      <c r="H17" s="35"/>
    </row>
    <row r="18" customFormat="false" ht="15" hidden="false" customHeight="true" outlineLevel="0" collapsed="false">
      <c r="A18" s="6" t="s">
        <v>112</v>
      </c>
      <c r="B18" s="6"/>
      <c r="C18" s="6"/>
      <c r="D18" s="44" t="n">
        <f aca="false">D16+D17</f>
        <v>5848.27586206897</v>
      </c>
      <c r="E18" s="40"/>
    </row>
    <row r="20" customFormat="false" ht="21.75" hidden="false" customHeight="true" outlineLevel="0" collapsed="false">
      <c r="A20" s="11" t="s">
        <v>113</v>
      </c>
      <c r="B20" s="11"/>
      <c r="C20" s="11"/>
      <c r="D20" s="11"/>
      <c r="E20" s="11"/>
      <c r="F20" s="11"/>
      <c r="G20" s="11"/>
      <c r="H20" s="11"/>
    </row>
    <row r="21" customFormat="false" ht="15" hidden="false" customHeight="true" outlineLevel="0" collapsed="false">
      <c r="A21" s="20" t="s">
        <v>114</v>
      </c>
      <c r="B21" s="20"/>
      <c r="C21" s="20"/>
      <c r="D21" s="20"/>
      <c r="E21" s="20"/>
      <c r="F21" s="20"/>
      <c r="G21" s="20"/>
      <c r="H21" s="20"/>
    </row>
    <row r="22" customFormat="false" ht="15" hidden="false" customHeight="true" outlineLevel="0" collapsed="false">
      <c r="A22" s="6" t="s">
        <v>115</v>
      </c>
      <c r="B22" s="6"/>
      <c r="C22" s="6"/>
      <c r="D22" s="45" t="n">
        <f aca="false">Data!C25/100</f>
        <v>0.01</v>
      </c>
      <c r="E22" s="40"/>
      <c r="F22" s="35" t="s">
        <v>116</v>
      </c>
      <c r="G22" s="35"/>
      <c r="H22" s="35"/>
    </row>
    <row r="23" customFormat="false" ht="15" hidden="false" customHeight="true" outlineLevel="0" collapsed="false">
      <c r="A23" s="6" t="s">
        <v>117</v>
      </c>
      <c r="B23" s="6"/>
      <c r="C23" s="6"/>
      <c r="D23" s="45" t="n">
        <f aca="false">2*Data!C25/100</f>
        <v>0.02</v>
      </c>
      <c r="E23" s="40"/>
      <c r="F23" s="35" t="s">
        <v>118</v>
      </c>
      <c r="G23" s="35"/>
      <c r="H23" s="35"/>
    </row>
    <row r="24" customFormat="false" ht="15" hidden="false" customHeight="true" outlineLevel="0" collapsed="false">
      <c r="A24" s="6" t="s">
        <v>119</v>
      </c>
      <c r="B24" s="6"/>
      <c r="C24" s="6"/>
      <c r="D24" s="42" t="n">
        <f aca="false">SQRT(2*Data!C23*D6/(Data!C22*(1-D22)*Data!C26))</f>
        <v>587.753813645259</v>
      </c>
      <c r="E24" s="40" t="s">
        <v>100</v>
      </c>
    </row>
    <row r="25" customFormat="false" ht="15" hidden="false" customHeight="true" outlineLevel="0" collapsed="false">
      <c r="A25" s="6" t="s">
        <v>120</v>
      </c>
      <c r="B25" s="6"/>
      <c r="C25" s="6"/>
      <c r="D25" s="42" t="n">
        <f aca="false">SQRT(2*Data!C23*D6/(Data!C22*(1-D23)*Data!C26))</f>
        <v>590.744946518152</v>
      </c>
      <c r="E25" s="40" t="s">
        <v>100</v>
      </c>
    </row>
    <row r="26" customFormat="false" ht="21.75" hidden="false" customHeight="true" outlineLevel="0" collapsed="false">
      <c r="A26" s="20" t="s">
        <v>121</v>
      </c>
      <c r="B26" s="20"/>
      <c r="C26" s="20"/>
      <c r="D26" s="20"/>
      <c r="E26" s="20"/>
      <c r="F26" s="20"/>
      <c r="G26" s="20"/>
      <c r="H26" s="20"/>
    </row>
    <row r="28" customFormat="false" ht="21.75" hidden="false" customHeight="true" outlineLevel="0" collapsed="false">
      <c r="A28" s="11" t="s">
        <v>122</v>
      </c>
      <c r="B28" s="11"/>
      <c r="C28" s="11"/>
      <c r="D28" s="11"/>
      <c r="E28" s="11"/>
      <c r="F28" s="11"/>
      <c r="G28" s="11"/>
      <c r="H28" s="11"/>
    </row>
    <row r="29" customFormat="false" ht="21.75" hidden="false" customHeight="true" outlineLevel="0" collapsed="false">
      <c r="A29" s="46" t="s">
        <v>123</v>
      </c>
      <c r="B29" s="46" t="s">
        <v>124</v>
      </c>
      <c r="C29" s="46" t="s">
        <v>125</v>
      </c>
      <c r="D29" s="46" t="s">
        <v>126</v>
      </c>
      <c r="E29" s="46" t="s">
        <v>127</v>
      </c>
      <c r="F29" s="46" t="s">
        <v>128</v>
      </c>
      <c r="G29" s="46" t="s">
        <v>129</v>
      </c>
    </row>
    <row r="30" customFormat="false" ht="15" hidden="false" customHeight="true" outlineLevel="0" collapsed="false">
      <c r="A30" s="47" t="s">
        <v>130</v>
      </c>
      <c r="B30" s="48" t="n">
        <f aca="false">D12</f>
        <v>580</v>
      </c>
      <c r="C30" s="49" t="n">
        <f aca="false">0</f>
        <v>0</v>
      </c>
      <c r="D30" s="48" t="n">
        <f aca="false">D6*Data!C22*(1-C30)</f>
        <v>228000</v>
      </c>
      <c r="E30" s="48" t="n">
        <f aca="false">D6/B30*Data!C23</f>
        <v>2948.27586206897</v>
      </c>
      <c r="F30" s="48" t="n">
        <f aca="false">Data!C22*(1-C30)*Data!C26*B30/2</f>
        <v>2900</v>
      </c>
      <c r="G30" s="50" t="n">
        <f aca="false">D30+E30+F30</f>
        <v>233848.275862069</v>
      </c>
    </row>
    <row r="31" customFormat="false" ht="15" hidden="false" customHeight="true" outlineLevel="0" collapsed="false">
      <c r="A31" s="47" t="s">
        <v>131</v>
      </c>
      <c r="B31" s="48" t="n">
        <v>2000</v>
      </c>
      <c r="C31" s="49" t="n">
        <f aca="false">D22</f>
        <v>0.01</v>
      </c>
      <c r="D31" s="48" t="n">
        <f aca="false">D6*Data!C22*(1-C31)</f>
        <v>225720</v>
      </c>
      <c r="E31" s="48" t="n">
        <f aca="false">D6/B31*Data!C23</f>
        <v>855</v>
      </c>
      <c r="F31" s="48" t="n">
        <f aca="false">Data!C22*(1-C31)*Data!C26*B31/2</f>
        <v>9900</v>
      </c>
      <c r="G31" s="50" t="n">
        <f aca="false">D31+E31+F31</f>
        <v>236475</v>
      </c>
    </row>
    <row r="32" customFormat="false" ht="15" hidden="false" customHeight="true" outlineLevel="0" collapsed="false">
      <c r="A32" s="47" t="s">
        <v>132</v>
      </c>
      <c r="B32" s="48" t="n">
        <v>5000</v>
      </c>
      <c r="C32" s="49" t="n">
        <f aca="false">D23</f>
        <v>0.02</v>
      </c>
      <c r="D32" s="48" t="n">
        <f aca="false">D6*Data!C22*(1-C32)</f>
        <v>223440</v>
      </c>
      <c r="E32" s="48" t="n">
        <f aca="false">D6/B32*Data!C23</f>
        <v>342</v>
      </c>
      <c r="F32" s="48" t="n">
        <f aca="false">Data!C22*(1-C32)*Data!C26*B32/2</f>
        <v>24500</v>
      </c>
      <c r="G32" s="50" t="n">
        <f aca="false">D32+E32+F32</f>
        <v>248282</v>
      </c>
    </row>
    <row r="33" customFormat="false" ht="15" hidden="false" customHeight="true" outlineLevel="0" collapsed="false">
      <c r="A33" s="51" t="s">
        <v>133</v>
      </c>
      <c r="B33" s="51"/>
      <c r="C33" s="51"/>
      <c r="D33" s="51"/>
      <c r="E33" s="51"/>
      <c r="F33" s="51"/>
      <c r="G33" s="52" t="n">
        <f aca="false">MIN(G30:G32)</f>
        <v>233848.275862069</v>
      </c>
    </row>
    <row r="34" customFormat="false" ht="21.75" hidden="false" customHeight="true" outlineLevel="0" collapsed="false">
      <c r="A34" s="53" t="s">
        <v>134</v>
      </c>
      <c r="B34" s="53"/>
      <c r="C34" s="53"/>
      <c r="D34" s="53"/>
      <c r="E34" s="53"/>
      <c r="F34" s="53"/>
      <c r="G34" s="53"/>
      <c r="H34" s="53"/>
    </row>
  </sheetData>
  <mergeCells count="32">
    <mergeCell ref="A1:H1"/>
    <mergeCell ref="A2:H2"/>
    <mergeCell ref="A4:H4"/>
    <mergeCell ref="A5:C5"/>
    <mergeCell ref="F5:H5"/>
    <mergeCell ref="A6:C6"/>
    <mergeCell ref="A8:H8"/>
    <mergeCell ref="A9:H9"/>
    <mergeCell ref="A10:C10"/>
    <mergeCell ref="F10:H10"/>
    <mergeCell ref="A11:C11"/>
    <mergeCell ref="A12:C12"/>
    <mergeCell ref="A14:H14"/>
    <mergeCell ref="A15:D15"/>
    <mergeCell ref="F15:H15"/>
    <mergeCell ref="A16:C16"/>
    <mergeCell ref="F16:H16"/>
    <mergeCell ref="A17:C17"/>
    <mergeCell ref="F17:H17"/>
    <mergeCell ref="A18:C18"/>
    <mergeCell ref="A20:H20"/>
    <mergeCell ref="A21:H21"/>
    <mergeCell ref="A22:C22"/>
    <mergeCell ref="F22:H22"/>
    <mergeCell ref="A23:C23"/>
    <mergeCell ref="F23:H23"/>
    <mergeCell ref="A24:C24"/>
    <mergeCell ref="A25:C25"/>
    <mergeCell ref="A26:H26"/>
    <mergeCell ref="A28:H28"/>
    <mergeCell ref="A33:F33"/>
    <mergeCell ref="A34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8F"/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3"/>
    <col collapsed="false" customWidth="true" hidden="false" outlineLevel="0" max="8" min="8" style="1" width="10"/>
  </cols>
  <sheetData>
    <row r="1" customFormat="false" ht="30" hidden="false" customHeight="true" outlineLevel="0" collapsed="false">
      <c r="A1" s="2" t="s">
        <v>135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136</v>
      </c>
      <c r="B2" s="3"/>
      <c r="C2" s="3"/>
      <c r="D2" s="3"/>
      <c r="E2" s="3"/>
      <c r="F2" s="3"/>
      <c r="G2" s="3"/>
      <c r="H2" s="3"/>
    </row>
    <row r="4" customFormat="false" ht="21.75" hidden="false" customHeight="true" outlineLevel="0" collapsed="false">
      <c r="A4" s="11" t="s">
        <v>137</v>
      </c>
      <c r="B4" s="11"/>
      <c r="C4" s="11"/>
      <c r="D4" s="11"/>
      <c r="E4" s="11"/>
      <c r="F4" s="11"/>
      <c r="G4" s="11"/>
      <c r="H4" s="11"/>
    </row>
    <row r="5" customFormat="false" ht="15" hidden="false" customHeight="true" outlineLevel="0" collapsed="false">
      <c r="A5" s="20" t="s">
        <v>138</v>
      </c>
      <c r="B5" s="20"/>
      <c r="C5" s="20"/>
      <c r="D5" s="20"/>
      <c r="E5" s="20"/>
      <c r="F5" s="20"/>
      <c r="G5" s="20"/>
      <c r="H5" s="20"/>
    </row>
    <row r="6" customFormat="false" ht="15" hidden="false" customHeight="true" outlineLevel="0" collapsed="false">
      <c r="A6" s="6" t="s">
        <v>139</v>
      </c>
      <c r="B6" s="6"/>
      <c r="C6" s="6"/>
      <c r="D6" s="22" t="n">
        <f aca="false">Data!C38*Data!C31</f>
        <v>280</v>
      </c>
      <c r="E6" s="40" t="s">
        <v>100</v>
      </c>
    </row>
    <row r="7" customFormat="false" ht="15" hidden="false" customHeight="true" outlineLevel="0" collapsed="false">
      <c r="A7" s="6" t="s">
        <v>140</v>
      </c>
      <c r="B7" s="6"/>
      <c r="C7" s="6"/>
      <c r="D7" s="22" t="n">
        <f aca="false">SQRT(Data!C38)*Data!C32</f>
        <v>56.5685424949238</v>
      </c>
      <c r="E7" s="40" t="s">
        <v>100</v>
      </c>
    </row>
    <row r="8" customFormat="false" ht="15" hidden="false" customHeight="true" outlineLevel="0" collapsed="false">
      <c r="A8" s="6" t="s">
        <v>141</v>
      </c>
      <c r="B8" s="6"/>
      <c r="C8" s="6"/>
      <c r="D8" s="41" t="n">
        <f aca="false">52*Data!C31</f>
        <v>7280</v>
      </c>
      <c r="E8" s="40" t="s">
        <v>96</v>
      </c>
    </row>
    <row r="9" customFormat="false" ht="15" hidden="false" customHeight="true" outlineLevel="0" collapsed="false">
      <c r="A9" s="6" t="s">
        <v>142</v>
      </c>
      <c r="B9" s="6"/>
      <c r="C9" s="6"/>
      <c r="D9" s="42" t="n">
        <f aca="false">SQRT(2*Data!C35*D8/(Data!C33*Data!C34))</f>
        <v>426.614580154031</v>
      </c>
      <c r="E9" s="40" t="s">
        <v>100</v>
      </c>
    </row>
    <row r="10" customFormat="false" ht="15" hidden="false" customHeight="true" outlineLevel="0" collapsed="false">
      <c r="A10" s="6" t="s">
        <v>143</v>
      </c>
      <c r="B10" s="6"/>
      <c r="C10" s="6"/>
      <c r="D10" s="41" t="n">
        <f aca="false">ROUND(D9,0)</f>
        <v>427</v>
      </c>
      <c r="E10" s="40" t="s">
        <v>100</v>
      </c>
    </row>
    <row r="12" customFormat="false" ht="21.75" hidden="false" customHeight="true" outlineLevel="0" collapsed="false">
      <c r="A12" s="11" t="s">
        <v>144</v>
      </c>
      <c r="B12" s="11"/>
      <c r="C12" s="11"/>
      <c r="D12" s="11"/>
      <c r="E12" s="11"/>
      <c r="F12" s="11"/>
      <c r="G12" s="11"/>
      <c r="H12" s="11"/>
    </row>
    <row r="13" customFormat="false" ht="15" hidden="false" customHeight="true" outlineLevel="0" collapsed="false">
      <c r="A13" s="20" t="s">
        <v>145</v>
      </c>
      <c r="B13" s="20"/>
      <c r="C13" s="20"/>
      <c r="D13" s="20"/>
      <c r="E13" s="20"/>
      <c r="F13" s="20"/>
      <c r="G13" s="20"/>
      <c r="H13" s="20"/>
    </row>
    <row r="14" customFormat="false" ht="15" hidden="false" customHeight="true" outlineLevel="0" collapsed="false">
      <c r="A14" s="6" t="s">
        <v>146</v>
      </c>
      <c r="B14" s="6"/>
      <c r="C14" s="6"/>
      <c r="D14" s="45" t="n">
        <f aca="false">0.95</f>
        <v>0.95</v>
      </c>
      <c r="E14" s="40"/>
    </row>
    <row r="15" customFormat="false" ht="15" hidden="false" customHeight="true" outlineLevel="0" collapsed="false">
      <c r="A15" s="6" t="s">
        <v>147</v>
      </c>
      <c r="B15" s="6"/>
      <c r="C15" s="6"/>
      <c r="D15" s="54" t="n">
        <f aca="false">D10*(1-D14)/D7</f>
        <v>0.37741824445832</v>
      </c>
      <c r="E15" s="40"/>
    </row>
    <row r="16" customFormat="false" ht="15" hidden="false" customHeight="true" outlineLevel="0" collapsed="false">
      <c r="A16" s="6" t="s">
        <v>148</v>
      </c>
      <c r="B16" s="6"/>
      <c r="C16" s="6"/>
      <c r="D16" s="55" t="n">
        <f aca="false">INDEX(_Tables!$A$4:$A$804,MATCH(D15,_Tables!$D$4:$D$804,-1))</f>
        <v>0.04</v>
      </c>
      <c r="E16" s="40"/>
      <c r="F16" s="35" t="s">
        <v>149</v>
      </c>
      <c r="G16" s="35"/>
      <c r="H16" s="35"/>
    </row>
    <row r="17" customFormat="false" ht="15" hidden="false" customHeight="true" outlineLevel="0" collapsed="false">
      <c r="A17" s="6" t="s">
        <v>150</v>
      </c>
      <c r="B17" s="6"/>
      <c r="C17" s="6"/>
      <c r="D17" s="41" t="n">
        <f aca="false">ROUND(D16*D7,0)</f>
        <v>2</v>
      </c>
      <c r="E17" s="40" t="s">
        <v>100</v>
      </c>
    </row>
    <row r="18" customFormat="false" ht="15" hidden="false" customHeight="true" outlineLevel="0" collapsed="false">
      <c r="A18" s="6" t="s">
        <v>151</v>
      </c>
      <c r="B18" s="6"/>
      <c r="C18" s="6"/>
      <c r="D18" s="41" t="n">
        <f aca="false">D6+D17</f>
        <v>282</v>
      </c>
      <c r="E18" s="40" t="s">
        <v>100</v>
      </c>
    </row>
    <row r="19" customFormat="false" ht="15" hidden="false" customHeight="true" outlineLevel="0" collapsed="false">
      <c r="A19" s="6" t="s">
        <v>152</v>
      </c>
      <c r="B19" s="6"/>
      <c r="C19" s="6"/>
      <c r="D19" s="56" t="n">
        <f aca="false">_xlfn.NORM.S.DIST(D16,TRUE())</f>
        <v>0.515953436852831</v>
      </c>
      <c r="E19" s="40"/>
    </row>
    <row r="20" customFormat="false" ht="15" hidden="false" customHeight="true" outlineLevel="0" collapsed="false">
      <c r="A20" s="53" t="s">
        <v>153</v>
      </c>
      <c r="B20" s="53"/>
      <c r="C20" s="53"/>
      <c r="D20" s="53"/>
      <c r="E20" s="53"/>
      <c r="F20" s="53"/>
      <c r="G20" s="53"/>
      <c r="H20" s="53"/>
    </row>
    <row r="22" customFormat="false" ht="21.75" hidden="false" customHeight="true" outlineLevel="0" collapsed="false">
      <c r="A22" s="11" t="s">
        <v>154</v>
      </c>
      <c r="B22" s="11"/>
      <c r="C22" s="11"/>
      <c r="D22" s="11"/>
      <c r="E22" s="11"/>
      <c r="F22" s="11"/>
      <c r="G22" s="11"/>
      <c r="H22" s="11"/>
    </row>
    <row r="23" customFormat="false" ht="15" hidden="false" customHeight="true" outlineLevel="0" collapsed="false">
      <c r="A23" s="20" t="s">
        <v>155</v>
      </c>
      <c r="B23" s="20"/>
      <c r="C23" s="20"/>
      <c r="D23" s="20"/>
      <c r="E23" s="20"/>
      <c r="F23" s="20"/>
      <c r="G23" s="20"/>
      <c r="H23" s="20"/>
    </row>
    <row r="24" customFormat="false" ht="15" hidden="false" customHeight="true" outlineLevel="0" collapsed="false">
      <c r="A24" s="6" t="s">
        <v>156</v>
      </c>
      <c r="B24" s="6"/>
      <c r="C24" s="6"/>
      <c r="D24" s="45" t="n">
        <f aca="false">1-1/20</f>
        <v>0.95</v>
      </c>
      <c r="E24" s="40"/>
    </row>
    <row r="25" customFormat="false" ht="15" hidden="false" customHeight="true" outlineLevel="0" collapsed="false">
      <c r="A25" s="6" t="s">
        <v>157</v>
      </c>
      <c r="B25" s="6"/>
      <c r="C25" s="6"/>
      <c r="D25" s="55" t="n">
        <f aca="false">_xlfn.NORM.S.INV(D24)</f>
        <v>1.64485362695147</v>
      </c>
      <c r="E25" s="40"/>
    </row>
    <row r="26" customFormat="false" ht="15" hidden="false" customHeight="true" outlineLevel="0" collapsed="false">
      <c r="A26" s="6" t="s">
        <v>150</v>
      </c>
      <c r="B26" s="6"/>
      <c r="C26" s="6"/>
      <c r="D26" s="41" t="n">
        <f aca="false">ROUND(D25*D7,0)</f>
        <v>93</v>
      </c>
      <c r="E26" s="40" t="s">
        <v>100</v>
      </c>
    </row>
    <row r="27" customFormat="false" ht="15" hidden="false" customHeight="true" outlineLevel="0" collapsed="false">
      <c r="A27" s="6" t="s">
        <v>151</v>
      </c>
      <c r="B27" s="6"/>
      <c r="C27" s="6"/>
      <c r="D27" s="41" t="n">
        <f aca="false">D6+D26</f>
        <v>373</v>
      </c>
      <c r="E27" s="40" t="s">
        <v>100</v>
      </c>
    </row>
    <row r="28" customFormat="false" ht="15" hidden="false" customHeight="true" outlineLevel="0" collapsed="false">
      <c r="A28" s="6" t="s">
        <v>158</v>
      </c>
      <c r="B28" s="6"/>
      <c r="C28" s="6"/>
      <c r="D28" s="54" t="n">
        <f aca="false">_xlfn.NORM.S.DIST(D25,FALSE())-D25*(1-_xlfn.NORM.S.DIST(D25,TRUE()))</f>
        <v>0.0208929590277979</v>
      </c>
      <c r="E28" s="40"/>
    </row>
    <row r="29" customFormat="false" ht="15" hidden="false" customHeight="true" outlineLevel="0" collapsed="false">
      <c r="A29" s="6" t="s">
        <v>159</v>
      </c>
      <c r="B29" s="6"/>
      <c r="C29" s="6"/>
      <c r="D29" s="57" t="n">
        <f aca="false">1-D7*D28/D10</f>
        <v>0.997232121216373</v>
      </c>
      <c r="E29" s="40"/>
    </row>
    <row r="30" customFormat="false" ht="15" hidden="false" customHeight="true" outlineLevel="0" collapsed="false">
      <c r="A30" s="53" t="s">
        <v>160</v>
      </c>
      <c r="B30" s="53"/>
      <c r="C30" s="53"/>
      <c r="D30" s="53"/>
      <c r="E30" s="53"/>
      <c r="F30" s="53"/>
      <c r="G30" s="53"/>
      <c r="H30" s="53"/>
    </row>
    <row r="32" customFormat="false" ht="21.75" hidden="false" customHeight="true" outlineLevel="0" collapsed="false">
      <c r="A32" s="11" t="s">
        <v>161</v>
      </c>
      <c r="B32" s="11"/>
      <c r="C32" s="11"/>
      <c r="D32" s="11"/>
      <c r="E32" s="11"/>
      <c r="F32" s="11"/>
      <c r="G32" s="11"/>
      <c r="H32" s="11"/>
    </row>
    <row r="33" customFormat="false" ht="21.75" hidden="false" customHeight="true" outlineLevel="0" collapsed="false">
      <c r="A33" s="20" t="s">
        <v>162</v>
      </c>
      <c r="B33" s="20"/>
      <c r="C33" s="20"/>
      <c r="D33" s="20"/>
      <c r="E33" s="20"/>
      <c r="F33" s="20"/>
      <c r="G33" s="20"/>
      <c r="H33" s="20"/>
    </row>
    <row r="34" customFormat="false" ht="15" hidden="false" customHeight="true" outlineLevel="0" collapsed="false">
      <c r="A34" s="12" t="s">
        <v>163</v>
      </c>
      <c r="B34" s="12"/>
      <c r="C34" s="12"/>
      <c r="D34" s="12"/>
      <c r="E34" s="12" t="s">
        <v>164</v>
      </c>
      <c r="F34" s="12"/>
      <c r="G34" s="12" t="s">
        <v>165</v>
      </c>
      <c r="H34" s="12"/>
    </row>
    <row r="35" customFormat="false" ht="15" hidden="false" customHeight="true" outlineLevel="0" collapsed="false">
      <c r="A35" s="15" t="s">
        <v>166</v>
      </c>
      <c r="B35" s="15"/>
      <c r="C35" s="15"/>
      <c r="D35" s="15"/>
      <c r="E35" s="58" t="n">
        <f aca="false">D17+D10/2</f>
        <v>215.5</v>
      </c>
      <c r="F35" s="58"/>
      <c r="G35" s="58" t="n">
        <f aca="false">D26+D10/2</f>
        <v>306.5</v>
      </c>
      <c r="H35" s="58"/>
    </row>
    <row r="36" customFormat="false" ht="15" hidden="false" customHeight="true" outlineLevel="0" collapsed="false">
      <c r="A36" s="15" t="s">
        <v>167</v>
      </c>
      <c r="B36" s="15"/>
      <c r="C36" s="15"/>
      <c r="D36" s="15"/>
      <c r="E36" s="59" t="n">
        <f aca="false">D8/D10*Data!C35</f>
        <v>1704.91803278689</v>
      </c>
      <c r="F36" s="59"/>
      <c r="G36" s="59" t="n">
        <f aca="false">D8/D10*Data!C35</f>
        <v>1704.91803278689</v>
      </c>
      <c r="H36" s="59"/>
    </row>
    <row r="37" customFormat="false" ht="15" hidden="false" customHeight="true" outlineLevel="0" collapsed="false">
      <c r="A37" s="15" t="s">
        <v>168</v>
      </c>
      <c r="B37" s="15"/>
      <c r="C37" s="15"/>
      <c r="D37" s="15"/>
      <c r="E37" s="59" t="n">
        <f aca="false">Data!C33*Data!C34*(D17+D10/2)</f>
        <v>1724</v>
      </c>
      <c r="F37" s="59"/>
      <c r="G37" s="59" t="n">
        <f aca="false">Data!C33*Data!C34*(D26+D10/2)</f>
        <v>2452</v>
      </c>
      <c r="H37" s="59"/>
    </row>
    <row r="38" customFormat="false" ht="15" hidden="false" customHeight="true" outlineLevel="0" collapsed="false">
      <c r="A38" s="15" t="s">
        <v>169</v>
      </c>
      <c r="B38" s="15"/>
      <c r="C38" s="15"/>
      <c r="D38" s="15"/>
      <c r="E38" s="59" t="n">
        <f aca="false">Data!C36*(1-D19)*D8/D10</f>
        <v>41.2629857109062</v>
      </c>
      <c r="F38" s="59"/>
      <c r="G38" s="59" t="n">
        <f aca="false">Data!C36*(1-D24)*D8/D10</f>
        <v>4.26229508196722</v>
      </c>
      <c r="H38" s="59"/>
    </row>
    <row r="39" customFormat="false" ht="15" hidden="false" customHeight="true" outlineLevel="0" collapsed="false">
      <c r="A39" s="47" t="s">
        <v>170</v>
      </c>
      <c r="B39" s="47"/>
      <c r="C39" s="47"/>
      <c r="D39" s="47"/>
      <c r="E39" s="44" t="n">
        <f aca="false">E36+E37+E38</f>
        <v>3470.18101849779</v>
      </c>
      <c r="F39" s="44"/>
      <c r="G39" s="44" t="n">
        <f aca="false">G36+G37+G38</f>
        <v>4161.18032786885</v>
      </c>
      <c r="H39" s="44"/>
    </row>
    <row r="41" customFormat="false" ht="21.75" hidden="false" customHeight="true" outlineLevel="0" collapsed="false">
      <c r="A41" s="20" t="s">
        <v>171</v>
      </c>
      <c r="B41" s="20"/>
      <c r="C41" s="20"/>
      <c r="D41" s="20"/>
      <c r="E41" s="20"/>
      <c r="F41" s="20"/>
      <c r="G41" s="20"/>
      <c r="H41" s="20"/>
    </row>
    <row r="42" customFormat="false" ht="15" hidden="false" customHeight="true" outlineLevel="0" collapsed="false">
      <c r="A42" s="6" t="s">
        <v>172</v>
      </c>
      <c r="B42" s="6"/>
      <c r="C42" s="6"/>
      <c r="D42" s="44" t="n">
        <f aca="false">(G39-E39)*1.5</f>
        <v>1036.49896405659</v>
      </c>
      <c r="E42" s="40" t="s">
        <v>173</v>
      </c>
      <c r="F42" s="35" t="s">
        <v>174</v>
      </c>
      <c r="G42" s="35"/>
      <c r="H42" s="35"/>
    </row>
    <row r="43" customFormat="false" ht="21.75" hidden="false" customHeight="true" outlineLevel="0" collapsed="false">
      <c r="A43" s="53" t="s">
        <v>175</v>
      </c>
      <c r="B43" s="53"/>
      <c r="C43" s="53"/>
      <c r="D43" s="53"/>
      <c r="E43" s="53"/>
      <c r="F43" s="53"/>
      <c r="G43" s="53"/>
      <c r="H43" s="53"/>
    </row>
  </sheetData>
  <mergeCells count="52">
    <mergeCell ref="A1:H1"/>
    <mergeCell ref="A2:H2"/>
    <mergeCell ref="A4:H4"/>
    <mergeCell ref="A5:H5"/>
    <mergeCell ref="A6:C6"/>
    <mergeCell ref="A7:C7"/>
    <mergeCell ref="A8:C8"/>
    <mergeCell ref="A9:C9"/>
    <mergeCell ref="A10:C10"/>
    <mergeCell ref="A12:H12"/>
    <mergeCell ref="A13:H13"/>
    <mergeCell ref="A14:C14"/>
    <mergeCell ref="A15:C15"/>
    <mergeCell ref="A16:C16"/>
    <mergeCell ref="F16:H16"/>
    <mergeCell ref="A17:C17"/>
    <mergeCell ref="A18:C18"/>
    <mergeCell ref="A19:C19"/>
    <mergeCell ref="A20:H20"/>
    <mergeCell ref="A22:H22"/>
    <mergeCell ref="A23:H23"/>
    <mergeCell ref="A24:C24"/>
    <mergeCell ref="A25:C25"/>
    <mergeCell ref="A26:C26"/>
    <mergeCell ref="A27:C27"/>
    <mergeCell ref="A28:C28"/>
    <mergeCell ref="A29:C29"/>
    <mergeCell ref="A30:H30"/>
    <mergeCell ref="A32:H32"/>
    <mergeCell ref="A33:H33"/>
    <mergeCell ref="A34:D34"/>
    <mergeCell ref="E34:F34"/>
    <mergeCell ref="G34:H34"/>
    <mergeCell ref="A35:D35"/>
    <mergeCell ref="E35:F35"/>
    <mergeCell ref="G35:H35"/>
    <mergeCell ref="A36:D36"/>
    <mergeCell ref="E36:F36"/>
    <mergeCell ref="G36:H36"/>
    <mergeCell ref="A37:D37"/>
    <mergeCell ref="E37:F37"/>
    <mergeCell ref="G37:H37"/>
    <mergeCell ref="A38:D38"/>
    <mergeCell ref="E38:F38"/>
    <mergeCell ref="G38:H38"/>
    <mergeCell ref="A39:D39"/>
    <mergeCell ref="E39:F39"/>
    <mergeCell ref="G39:H39"/>
    <mergeCell ref="A41:H41"/>
    <mergeCell ref="A42:C42"/>
    <mergeCell ref="F42:H42"/>
    <mergeCell ref="A43:H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8F"/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8" min="2" style="1" width="12"/>
  </cols>
  <sheetData>
    <row r="1" customFormat="false" ht="30" hidden="false" customHeight="true" outlineLevel="0" collapsed="false">
      <c r="A1" s="2" t="s">
        <v>176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177</v>
      </c>
      <c r="B2" s="3"/>
      <c r="C2" s="3"/>
      <c r="D2" s="3"/>
      <c r="E2" s="3"/>
      <c r="F2" s="3"/>
      <c r="G2" s="3"/>
      <c r="H2" s="3"/>
    </row>
    <row r="4" customFormat="false" ht="21.75" hidden="false" customHeight="true" outlineLevel="0" collapsed="false">
      <c r="A4" s="11" t="s">
        <v>178</v>
      </c>
      <c r="B4" s="11"/>
      <c r="C4" s="11"/>
      <c r="D4" s="11"/>
      <c r="E4" s="11"/>
      <c r="F4" s="11"/>
      <c r="G4" s="11"/>
      <c r="H4" s="11"/>
    </row>
    <row r="5" customFormat="false" ht="21.75" hidden="false" customHeight="true" outlineLevel="0" collapsed="false">
      <c r="A5" s="20" t="s">
        <v>179</v>
      </c>
      <c r="B5" s="20"/>
      <c r="C5" s="20"/>
      <c r="D5" s="20"/>
      <c r="E5" s="20"/>
      <c r="F5" s="20"/>
      <c r="G5" s="20"/>
      <c r="H5" s="20"/>
    </row>
    <row r="6" customFormat="false" ht="15" hidden="false" customHeight="true" outlineLevel="0" collapsed="false">
      <c r="A6" s="60" t="s">
        <v>180</v>
      </c>
      <c r="B6" s="60"/>
      <c r="C6" s="60"/>
      <c r="D6" s="60"/>
      <c r="E6" s="60"/>
      <c r="F6" s="60"/>
      <c r="G6" s="60"/>
      <c r="H6" s="60"/>
    </row>
    <row r="7" customFormat="false" ht="15" hidden="false" customHeight="true" outlineLevel="0" collapsed="false">
      <c r="A7" s="6" t="s">
        <v>181</v>
      </c>
      <c r="B7" s="6"/>
      <c r="C7" s="6"/>
      <c r="D7" s="54" t="n">
        <f aca="false">B1_B2_Systems!D10*Data!C33*Data!C34/(Data!C36*B1_B2_Systems!D8)</f>
        <v>0.0938461538461538</v>
      </c>
      <c r="E7" s="40"/>
      <c r="F7" s="35" t="s">
        <v>182</v>
      </c>
      <c r="G7" s="35"/>
      <c r="H7" s="35"/>
    </row>
    <row r="8" customFormat="false" ht="15" hidden="false" customHeight="true" outlineLevel="0" collapsed="false">
      <c r="A8" s="6" t="s">
        <v>183</v>
      </c>
      <c r="B8" s="6"/>
      <c r="C8" s="6"/>
      <c r="D8" s="55" t="n">
        <f aca="false">_xlfn.NORM.S.INV(1-D7)</f>
        <v>1.31743663517731</v>
      </c>
      <c r="E8" s="40"/>
    </row>
    <row r="9" customFormat="false" ht="15" hidden="false" customHeight="true" outlineLevel="0" collapsed="false">
      <c r="A9" s="6" t="s">
        <v>150</v>
      </c>
      <c r="B9" s="6"/>
      <c r="C9" s="6"/>
      <c r="D9" s="41" t="n">
        <f aca="false">ROUND(D8*B1_B2_Systems!D7,0)</f>
        <v>75</v>
      </c>
      <c r="E9" s="40" t="s">
        <v>100</v>
      </c>
    </row>
    <row r="10" customFormat="false" ht="15" hidden="false" customHeight="true" outlineLevel="0" collapsed="false">
      <c r="A10" s="6" t="s">
        <v>151</v>
      </c>
      <c r="B10" s="6"/>
      <c r="C10" s="6"/>
      <c r="D10" s="41" t="n">
        <f aca="false">B1_B2_Systems!D6+D9</f>
        <v>355</v>
      </c>
      <c r="E10" s="40" t="s">
        <v>100</v>
      </c>
    </row>
    <row r="11" customFormat="false" ht="15" hidden="false" customHeight="true" outlineLevel="0" collapsed="false">
      <c r="A11" s="6" t="s">
        <v>184</v>
      </c>
      <c r="B11" s="6"/>
      <c r="C11" s="6"/>
      <c r="D11" s="54" t="n">
        <f aca="false">_xlfn.NORM.S.DIST(D8,FALSE())-D8*(1-_xlfn.NORM.S.DIST(D8,TRUE()))</f>
        <v>0.0438659421037564</v>
      </c>
      <c r="E11" s="40"/>
    </row>
    <row r="12" customFormat="false" ht="15" hidden="false" customHeight="true" outlineLevel="0" collapsed="false">
      <c r="A12" s="6" t="s">
        <v>159</v>
      </c>
      <c r="B12" s="6"/>
      <c r="C12" s="6"/>
      <c r="D12" s="57" t="n">
        <f aca="false">1-B1_B2_Systems!D7*D11/B1_B2_Systems!D10</f>
        <v>0.994188682880618</v>
      </c>
      <c r="E12" s="40"/>
    </row>
    <row r="13" customFormat="false" ht="15" hidden="false" customHeight="true" outlineLevel="0" collapsed="false">
      <c r="A13" s="53" t="s">
        <v>185</v>
      </c>
      <c r="B13" s="53"/>
      <c r="C13" s="53"/>
      <c r="D13" s="53"/>
      <c r="E13" s="53"/>
      <c r="F13" s="53"/>
      <c r="G13" s="53"/>
      <c r="H13" s="53"/>
    </row>
    <row r="15" customFormat="false" ht="21.75" hidden="false" customHeight="true" outlineLevel="0" collapsed="false">
      <c r="A15" s="11" t="s">
        <v>186</v>
      </c>
      <c r="B15" s="11"/>
      <c r="C15" s="11"/>
      <c r="D15" s="11"/>
      <c r="E15" s="11"/>
      <c r="F15" s="11"/>
      <c r="G15" s="11"/>
      <c r="H15" s="11"/>
    </row>
    <row r="16" customFormat="false" ht="15" hidden="false" customHeight="true" outlineLevel="0" collapsed="false">
      <c r="A16" s="20" t="s">
        <v>187</v>
      </c>
      <c r="B16" s="20"/>
      <c r="C16" s="20"/>
      <c r="D16" s="20"/>
      <c r="E16" s="20"/>
      <c r="F16" s="20"/>
      <c r="G16" s="20"/>
      <c r="H16" s="20"/>
    </row>
    <row r="17" customFormat="false" ht="30" hidden="false" customHeight="true" outlineLevel="0" collapsed="false">
      <c r="A17" s="12" t="s">
        <v>163</v>
      </c>
      <c r="B17" s="12"/>
      <c r="C17" s="46" t="s">
        <v>188</v>
      </c>
      <c r="D17" s="46"/>
      <c r="E17" s="46" t="s">
        <v>189</v>
      </c>
      <c r="F17" s="46"/>
      <c r="G17" s="46" t="s">
        <v>190</v>
      </c>
      <c r="H17" s="46"/>
    </row>
    <row r="18" customFormat="false" ht="15" hidden="false" customHeight="true" outlineLevel="0" collapsed="false">
      <c r="A18" s="15" t="s">
        <v>191</v>
      </c>
      <c r="B18" s="15"/>
      <c r="C18" s="26" t="n">
        <f aca="false">B1_B2_Systems!D18</f>
        <v>282</v>
      </c>
      <c r="D18" s="26"/>
      <c r="E18" s="26" t="n">
        <f aca="false">B1_B2_Systems!D27</f>
        <v>373</v>
      </c>
      <c r="F18" s="26"/>
      <c r="G18" s="26" t="n">
        <f aca="false">D10</f>
        <v>355</v>
      </c>
      <c r="H18" s="26"/>
    </row>
    <row r="19" customFormat="false" ht="15" hidden="false" customHeight="true" outlineLevel="0" collapsed="false">
      <c r="A19" s="15" t="s">
        <v>192</v>
      </c>
      <c r="B19" s="15"/>
      <c r="C19" s="26" t="n">
        <f aca="false">B1_B2_Systems!D17</f>
        <v>2</v>
      </c>
      <c r="D19" s="26"/>
      <c r="E19" s="26" t="n">
        <f aca="false">B1_B2_Systems!D26</f>
        <v>93</v>
      </c>
      <c r="F19" s="26"/>
      <c r="G19" s="26" t="n">
        <f aca="false">D9</f>
        <v>75</v>
      </c>
      <c r="H19" s="26"/>
    </row>
    <row r="20" customFormat="false" ht="15" hidden="false" customHeight="true" outlineLevel="0" collapsed="false">
      <c r="A20" s="15" t="s">
        <v>193</v>
      </c>
      <c r="B20" s="15"/>
      <c r="C20" s="58" t="n">
        <f aca="false">B1_B2_Systems!E35</f>
        <v>215.5</v>
      </c>
      <c r="D20" s="58"/>
      <c r="E20" s="58" t="n">
        <f aca="false">B1_B2_Systems!G35</f>
        <v>306.5</v>
      </c>
      <c r="F20" s="58"/>
      <c r="G20" s="58" t="n">
        <f aca="false">D9+B1_B2_Systems!D10/2</f>
        <v>288.5</v>
      </c>
      <c r="H20" s="58"/>
    </row>
    <row r="21" customFormat="false" ht="15" hidden="false" customHeight="true" outlineLevel="0" collapsed="false">
      <c r="A21" s="15" t="s">
        <v>194</v>
      </c>
      <c r="B21" s="15"/>
      <c r="C21" s="49" t="n">
        <f aca="false">B1_B2_Systems!D14</f>
        <v>0.95</v>
      </c>
      <c r="D21" s="49"/>
      <c r="E21" s="49" t="n">
        <f aca="false">B1_B2_Systems!D29</f>
        <v>0.997232121216373</v>
      </c>
      <c r="F21" s="49"/>
      <c r="G21" s="49" t="n">
        <f aca="false">D12</f>
        <v>0.994188682880618</v>
      </c>
      <c r="H21" s="49"/>
    </row>
    <row r="22" customFormat="false" ht="15" hidden="false" customHeight="true" outlineLevel="0" collapsed="false">
      <c r="A22" s="15" t="s">
        <v>51</v>
      </c>
      <c r="B22" s="15"/>
      <c r="C22" s="59" t="n">
        <f aca="false">B1_B2_Systems!E36</f>
        <v>1704.91803278689</v>
      </c>
      <c r="D22" s="59"/>
      <c r="E22" s="59" t="n">
        <f aca="false">B1_B2_Systems!G36</f>
        <v>1704.91803278689</v>
      </c>
      <c r="F22" s="59"/>
      <c r="G22" s="59" t="n">
        <f aca="false">B1_B2_Systems!D8/B1_B2_Systems!D10*Data!C35</f>
        <v>1704.91803278689</v>
      </c>
      <c r="H22" s="59"/>
    </row>
    <row r="23" customFormat="false" ht="15" hidden="false" customHeight="true" outlineLevel="0" collapsed="false">
      <c r="A23" s="15" t="s">
        <v>195</v>
      </c>
      <c r="B23" s="15"/>
      <c r="C23" s="59" t="n">
        <f aca="false">B1_B2_Systems!E37</f>
        <v>1724</v>
      </c>
      <c r="D23" s="59"/>
      <c r="E23" s="59" t="n">
        <f aca="false">B1_B2_Systems!G37</f>
        <v>2452</v>
      </c>
      <c r="F23" s="59"/>
      <c r="G23" s="59" t="n">
        <f aca="false">Data!C33*Data!C34*(D9+B1_B2_Systems!D10/2)</f>
        <v>2308</v>
      </c>
      <c r="H23" s="59"/>
    </row>
    <row r="24" customFormat="false" ht="15" hidden="false" customHeight="true" outlineLevel="0" collapsed="false">
      <c r="A24" s="15" t="s">
        <v>196</v>
      </c>
      <c r="B24" s="15"/>
      <c r="C24" s="59" t="n">
        <f aca="false">B1_B2_Systems!E38</f>
        <v>41.2629857109062</v>
      </c>
      <c r="D24" s="59"/>
      <c r="E24" s="59" t="n">
        <f aca="false">B1_B2_Systems!G38</f>
        <v>4.26229508196722</v>
      </c>
      <c r="F24" s="59"/>
      <c r="G24" s="59" t="n">
        <f aca="false">Data!C36*D7*B1_B2_Systems!D8/B1_B2_Systems!D10</f>
        <v>8</v>
      </c>
      <c r="H24" s="59"/>
    </row>
    <row r="25" customFormat="false" ht="15" hidden="false" customHeight="true" outlineLevel="0" collapsed="false">
      <c r="A25" s="47" t="s">
        <v>197</v>
      </c>
      <c r="B25" s="47"/>
      <c r="C25" s="61" t="n">
        <f aca="false">B1_B2_Systems!E39</f>
        <v>3470.18101849779</v>
      </c>
      <c r="D25" s="61"/>
      <c r="E25" s="62" t="n">
        <f aca="false">B1_B2_Systems!G39</f>
        <v>4161.18032786885</v>
      </c>
      <c r="F25" s="62"/>
      <c r="G25" s="62" t="n">
        <f aca="false">G22+G23+G24</f>
        <v>4020.91803278689</v>
      </c>
      <c r="H25" s="62"/>
    </row>
    <row r="27" customFormat="false" ht="21.75" hidden="false" customHeight="true" outlineLevel="0" collapsed="false">
      <c r="A27" s="53" t="s">
        <v>198</v>
      </c>
      <c r="B27" s="53"/>
      <c r="C27" s="53"/>
      <c r="D27" s="53"/>
      <c r="E27" s="53"/>
      <c r="F27" s="53"/>
      <c r="G27" s="53"/>
      <c r="H27" s="53"/>
    </row>
  </sheetData>
  <mergeCells count="52">
    <mergeCell ref="A1:H1"/>
    <mergeCell ref="A2:H2"/>
    <mergeCell ref="A4:H4"/>
    <mergeCell ref="A5:H5"/>
    <mergeCell ref="A6:H6"/>
    <mergeCell ref="A7:C7"/>
    <mergeCell ref="F7:H7"/>
    <mergeCell ref="A8:C8"/>
    <mergeCell ref="A9:C9"/>
    <mergeCell ref="A10:C10"/>
    <mergeCell ref="A11:C11"/>
    <mergeCell ref="A12:C12"/>
    <mergeCell ref="A13:H13"/>
    <mergeCell ref="A15:H15"/>
    <mergeCell ref="A16:H16"/>
    <mergeCell ref="A17:B17"/>
    <mergeCell ref="C17:D17"/>
    <mergeCell ref="E17:F17"/>
    <mergeCell ref="G17:H17"/>
    <mergeCell ref="A18:B18"/>
    <mergeCell ref="C18:D18"/>
    <mergeCell ref="E18:F18"/>
    <mergeCell ref="G18:H18"/>
    <mergeCell ref="A19:B19"/>
    <mergeCell ref="C19:D19"/>
    <mergeCell ref="E19:F19"/>
    <mergeCell ref="G19:H19"/>
    <mergeCell ref="A20:B20"/>
    <mergeCell ref="C20:D20"/>
    <mergeCell ref="E20:F20"/>
    <mergeCell ref="G20:H20"/>
    <mergeCell ref="A21:B21"/>
    <mergeCell ref="C21:D21"/>
    <mergeCell ref="E21:F21"/>
    <mergeCell ref="G21:H21"/>
    <mergeCell ref="A22:B22"/>
    <mergeCell ref="C22:D22"/>
    <mergeCell ref="E22:F22"/>
    <mergeCell ref="G22:H22"/>
    <mergeCell ref="A23:B23"/>
    <mergeCell ref="C23:D23"/>
    <mergeCell ref="E23:F23"/>
    <mergeCell ref="G23:H23"/>
    <mergeCell ref="A24:B24"/>
    <mergeCell ref="C24:D24"/>
    <mergeCell ref="E24:F24"/>
    <mergeCell ref="G24:H24"/>
    <mergeCell ref="A25:B25"/>
    <mergeCell ref="C25:D25"/>
    <mergeCell ref="E25:F25"/>
    <mergeCell ref="G25:H25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8F"/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8" min="2" style="1" width="13"/>
  </cols>
  <sheetData>
    <row r="1" customFormat="false" ht="30" hidden="false" customHeight="true" outlineLevel="0" collapsed="false">
      <c r="A1" s="2" t="s">
        <v>199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200</v>
      </c>
      <c r="B2" s="3"/>
      <c r="C2" s="3"/>
      <c r="D2" s="3"/>
      <c r="E2" s="3"/>
      <c r="F2" s="3"/>
      <c r="G2" s="3"/>
      <c r="H2" s="3"/>
    </row>
    <row r="4" customFormat="false" ht="21.75" hidden="false" customHeight="true" outlineLevel="0" collapsed="false">
      <c r="A4" s="11" t="s">
        <v>201</v>
      </c>
      <c r="B4" s="11"/>
      <c r="C4" s="11"/>
      <c r="D4" s="11"/>
      <c r="E4" s="11"/>
      <c r="F4" s="11"/>
      <c r="G4" s="11"/>
      <c r="H4" s="11"/>
    </row>
    <row r="5" customFormat="false" ht="15" hidden="false" customHeight="true" outlineLevel="0" collapsed="false">
      <c r="A5" s="12" t="s">
        <v>163</v>
      </c>
      <c r="B5" s="12"/>
      <c r="C5" s="12"/>
      <c r="D5" s="12" t="s">
        <v>202</v>
      </c>
      <c r="E5" s="12"/>
      <c r="F5" s="12" t="s">
        <v>203</v>
      </c>
      <c r="G5" s="12"/>
    </row>
    <row r="6" customFormat="false" ht="15" hidden="false" customHeight="true" outlineLevel="0" collapsed="false">
      <c r="A6" s="15" t="s">
        <v>204</v>
      </c>
      <c r="B6" s="15"/>
      <c r="C6" s="15"/>
      <c r="D6" s="63" t="n">
        <f aca="false">4</f>
        <v>4</v>
      </c>
      <c r="E6" s="63"/>
      <c r="F6" s="63" t="n">
        <f aca="false">2</f>
        <v>2</v>
      </c>
      <c r="G6" s="63"/>
    </row>
    <row r="7" customFormat="false" ht="15" hidden="false" customHeight="true" outlineLevel="0" collapsed="false">
      <c r="A7" s="15" t="s">
        <v>205</v>
      </c>
      <c r="B7" s="15"/>
      <c r="C7" s="15"/>
      <c r="D7" s="39" t="n">
        <f aca="false">D6+Data!C38</f>
        <v>6</v>
      </c>
      <c r="E7" s="39"/>
      <c r="F7" s="39" t="n">
        <f aca="false">F6+Data!C38</f>
        <v>4</v>
      </c>
      <c r="G7" s="39"/>
    </row>
    <row r="8" customFormat="false" ht="15" hidden="false" customHeight="true" outlineLevel="0" collapsed="false">
      <c r="A8" s="15" t="s">
        <v>206</v>
      </c>
      <c r="B8" s="15"/>
      <c r="C8" s="15"/>
      <c r="D8" s="22" t="n">
        <f aca="false">D7*Data!C31</f>
        <v>840</v>
      </c>
      <c r="E8" s="22"/>
      <c r="F8" s="22" t="n">
        <f aca="false">F7*Data!C31</f>
        <v>560</v>
      </c>
      <c r="G8" s="22"/>
    </row>
    <row r="9" customFormat="false" ht="15" hidden="false" customHeight="true" outlineLevel="0" collapsed="false">
      <c r="A9" s="15" t="s">
        <v>207</v>
      </c>
      <c r="B9" s="15"/>
      <c r="C9" s="15"/>
      <c r="D9" s="22" t="n">
        <f aca="false">SQRT(D7)*Data!C32</f>
        <v>97.9795897113271</v>
      </c>
      <c r="E9" s="22"/>
      <c r="F9" s="22" t="n">
        <f aca="false">SQRT(F7)*Data!C32</f>
        <v>80</v>
      </c>
      <c r="G9" s="22"/>
    </row>
    <row r="10" customFormat="false" ht="15" hidden="false" customHeight="true" outlineLevel="0" collapsed="false">
      <c r="A10" s="15" t="s">
        <v>208</v>
      </c>
      <c r="B10" s="15"/>
      <c r="C10" s="15"/>
      <c r="D10" s="39" t="n">
        <f aca="false">Data!C31*D6</f>
        <v>560</v>
      </c>
      <c r="E10" s="39"/>
      <c r="F10" s="39" t="n">
        <f aca="false">Data!C31*F6</f>
        <v>280</v>
      </c>
      <c r="G10" s="39"/>
    </row>
    <row r="12" customFormat="false" ht="21.75" hidden="false" customHeight="true" outlineLevel="0" collapsed="false">
      <c r="A12" s="11" t="s">
        <v>209</v>
      </c>
      <c r="B12" s="11"/>
      <c r="C12" s="11"/>
      <c r="D12" s="11"/>
      <c r="E12" s="11"/>
      <c r="F12" s="11"/>
      <c r="G12" s="11"/>
      <c r="H12" s="11"/>
    </row>
    <row r="13" customFormat="false" ht="15" hidden="false" customHeight="true" outlineLevel="0" collapsed="false">
      <c r="A13" s="20" t="s">
        <v>210</v>
      </c>
      <c r="B13" s="20"/>
      <c r="C13" s="20"/>
      <c r="D13" s="20"/>
      <c r="E13" s="20"/>
      <c r="F13" s="20"/>
      <c r="G13" s="20"/>
      <c r="H13" s="20"/>
    </row>
    <row r="14" customFormat="false" ht="15" hidden="false" customHeight="true" outlineLevel="0" collapsed="false">
      <c r="A14" s="12" t="s">
        <v>163</v>
      </c>
      <c r="B14" s="12"/>
      <c r="C14" s="12"/>
      <c r="D14" s="12" t="s">
        <v>202</v>
      </c>
      <c r="E14" s="12"/>
      <c r="F14" s="12" t="s">
        <v>203</v>
      </c>
      <c r="G14" s="12"/>
    </row>
    <row r="15" customFormat="false" ht="15" hidden="false" customHeight="true" outlineLevel="0" collapsed="false">
      <c r="A15" s="15" t="s">
        <v>211</v>
      </c>
      <c r="B15" s="15"/>
      <c r="C15" s="15"/>
      <c r="D15" s="64" t="n">
        <f aca="false">_xlfn.NORM.S.INV(1-1/20)</f>
        <v>1.64485362695147</v>
      </c>
      <c r="E15" s="64"/>
      <c r="F15" s="64" t="n">
        <f aca="false">_xlfn.NORM.S.INV(1-1/20)</f>
        <v>1.64485362695147</v>
      </c>
      <c r="G15" s="64"/>
    </row>
    <row r="16" customFormat="false" ht="15" hidden="false" customHeight="true" outlineLevel="0" collapsed="false">
      <c r="A16" s="15" t="s">
        <v>212</v>
      </c>
      <c r="B16" s="15"/>
      <c r="C16" s="15"/>
      <c r="D16" s="41" t="n">
        <f aca="false">ROUND(D8+D15*D9,0)</f>
        <v>1001</v>
      </c>
      <c r="E16" s="41"/>
      <c r="F16" s="41" t="n">
        <f aca="false">ROUND(F8+F15*F9,0)</f>
        <v>692</v>
      </c>
      <c r="G16" s="41"/>
    </row>
    <row r="17" customFormat="false" ht="15" hidden="false" customHeight="true" outlineLevel="0" collapsed="false">
      <c r="A17" s="15" t="s">
        <v>213</v>
      </c>
      <c r="B17" s="15"/>
      <c r="C17" s="15"/>
      <c r="D17" s="65" t="n">
        <f aca="false">D6/(1-_xlfn.NORM.S.DIST(D15,TRUE()))</f>
        <v>79.9999999999999</v>
      </c>
      <c r="E17" s="65"/>
      <c r="F17" s="65" t="n">
        <f aca="false">F6/(1-_xlfn.NORM.S.DIST(F15,TRUE()))</f>
        <v>40</v>
      </c>
      <c r="G17" s="65"/>
    </row>
    <row r="18" customFormat="false" ht="15" hidden="false" customHeight="true" outlineLevel="0" collapsed="false">
      <c r="A18" s="53" t="s">
        <v>214</v>
      </c>
      <c r="B18" s="53"/>
      <c r="C18" s="53"/>
      <c r="D18" s="53"/>
      <c r="E18" s="53"/>
      <c r="F18" s="53"/>
      <c r="G18" s="53"/>
      <c r="H18" s="53"/>
    </row>
    <row r="20" customFormat="false" ht="21.75" hidden="false" customHeight="true" outlineLevel="0" collapsed="false">
      <c r="A20" s="11" t="s">
        <v>215</v>
      </c>
      <c r="B20" s="11"/>
      <c r="C20" s="11"/>
      <c r="D20" s="11"/>
      <c r="E20" s="11"/>
      <c r="F20" s="11"/>
      <c r="G20" s="11"/>
      <c r="H20" s="11"/>
    </row>
    <row r="21" customFormat="false" ht="15" hidden="false" customHeight="true" outlineLevel="0" collapsed="false">
      <c r="A21" s="20" t="s">
        <v>216</v>
      </c>
      <c r="B21" s="20"/>
      <c r="C21" s="20"/>
      <c r="D21" s="20"/>
      <c r="E21" s="20"/>
      <c r="F21" s="20"/>
      <c r="G21" s="20"/>
      <c r="H21" s="20"/>
    </row>
    <row r="22" customFormat="false" ht="15" hidden="false" customHeight="true" outlineLevel="0" collapsed="false">
      <c r="A22" s="12" t="s">
        <v>163</v>
      </c>
      <c r="B22" s="12"/>
      <c r="C22" s="12"/>
      <c r="D22" s="12" t="s">
        <v>202</v>
      </c>
      <c r="E22" s="12"/>
      <c r="F22" s="12" t="s">
        <v>203</v>
      </c>
      <c r="G22" s="12"/>
    </row>
    <row r="23" customFormat="false" ht="15" hidden="false" customHeight="true" outlineLevel="0" collapsed="false">
      <c r="A23" s="15" t="s">
        <v>217</v>
      </c>
      <c r="B23" s="15"/>
      <c r="C23" s="15"/>
      <c r="D23" s="54" t="n">
        <f aca="false">D6/52</f>
        <v>0.0769230769230769</v>
      </c>
      <c r="E23" s="54"/>
      <c r="F23" s="54" t="n">
        <f aca="false">F6/52</f>
        <v>0.0384615384615385</v>
      </c>
      <c r="G23" s="54"/>
    </row>
    <row r="24" customFormat="false" ht="15" hidden="false" customHeight="true" outlineLevel="0" collapsed="false">
      <c r="A24" s="15" t="s">
        <v>218</v>
      </c>
      <c r="B24" s="15"/>
      <c r="C24" s="15"/>
      <c r="D24" s="54" t="n">
        <f aca="false">Data!C36/(Data!C36+Data!C33*Data!C34*D23)</f>
        <v>0.89041095890411</v>
      </c>
      <c r="E24" s="54"/>
      <c r="F24" s="54" t="n">
        <f aca="false">Data!C36/(Data!C36+Data!C33*Data!C34*F23)</f>
        <v>0.942028985507247</v>
      </c>
      <c r="G24" s="54"/>
    </row>
    <row r="25" customFormat="false" ht="15" hidden="false" customHeight="true" outlineLevel="0" collapsed="false">
      <c r="A25" s="15" t="s">
        <v>219</v>
      </c>
      <c r="B25" s="15"/>
      <c r="C25" s="15"/>
      <c r="D25" s="55" t="n">
        <f aca="false">_xlfn.NORM.S.INV(D24)</f>
        <v>1.22871659447705</v>
      </c>
      <c r="E25" s="55"/>
      <c r="F25" s="55" t="n">
        <f aca="false">_xlfn.NORM.S.INV(F24)</f>
        <v>1.57203674824224</v>
      </c>
      <c r="G25" s="55"/>
    </row>
    <row r="26" customFormat="false" ht="15" hidden="false" customHeight="true" outlineLevel="0" collapsed="false">
      <c r="A26" s="15" t="s">
        <v>212</v>
      </c>
      <c r="B26" s="15"/>
      <c r="C26" s="15"/>
      <c r="D26" s="41" t="n">
        <f aca="false">ROUND(D8+D25*D9,0)</f>
        <v>960</v>
      </c>
      <c r="E26" s="41"/>
      <c r="F26" s="41" t="n">
        <f aca="false">ROUND(F8+F25*F9,0)</f>
        <v>686</v>
      </c>
      <c r="G26" s="41"/>
    </row>
    <row r="27" customFormat="false" ht="15" hidden="false" customHeight="true" outlineLevel="0" collapsed="false">
      <c r="A27" s="15" t="s">
        <v>220</v>
      </c>
      <c r="B27" s="15"/>
      <c r="C27" s="15"/>
      <c r="D27" s="54" t="n">
        <f aca="false">_xlfn.NORM.S.DIST(D25,FALSE())-D25*(1-_xlfn.NORM.S.DIST(D25,TRUE()))</f>
        <v>0.0528771915049013</v>
      </c>
      <c r="E27" s="54"/>
      <c r="F27" s="54" t="n">
        <f aca="false">_xlfn.NORM.S.DIST(F25,FALSE())-F25*(1-_xlfn.NORM.S.DIST(F25,TRUE()))</f>
        <v>0.0248183524194922</v>
      </c>
      <c r="G27" s="54"/>
    </row>
    <row r="28" customFormat="false" ht="15" hidden="false" customHeight="true" outlineLevel="0" collapsed="false">
      <c r="A28" s="15" t="s">
        <v>221</v>
      </c>
      <c r="B28" s="15"/>
      <c r="C28" s="15"/>
      <c r="D28" s="57" t="n">
        <f aca="false">1-D9*D27/D10</f>
        <v>0.990748418698683</v>
      </c>
      <c r="E28" s="57"/>
      <c r="F28" s="57" t="n">
        <f aca="false">1-F9*F27/F10</f>
        <v>0.992909042165859</v>
      </c>
      <c r="G28" s="57"/>
    </row>
    <row r="29" customFormat="false" ht="15" hidden="false" customHeight="true" outlineLevel="0" collapsed="false">
      <c r="A29" s="15" t="s">
        <v>222</v>
      </c>
      <c r="B29" s="15"/>
      <c r="C29" s="15"/>
      <c r="D29" s="65" t="n">
        <f aca="false">D6/(1-_xlfn.NORM.S.DIST(D25,TRUE()))</f>
        <v>36.5000000000001</v>
      </c>
      <c r="E29" s="65"/>
      <c r="F29" s="65" t="n">
        <f aca="false">F6/(1-_xlfn.NORM.S.DIST(F25,TRUE()))</f>
        <v>34.5</v>
      </c>
      <c r="G29" s="65"/>
    </row>
    <row r="31" customFormat="false" ht="21.75" hidden="false" customHeight="true" outlineLevel="0" collapsed="false">
      <c r="A31" s="11" t="s">
        <v>223</v>
      </c>
      <c r="B31" s="11"/>
      <c r="C31" s="11"/>
      <c r="D31" s="11"/>
      <c r="E31" s="11"/>
      <c r="F31" s="11"/>
      <c r="G31" s="11"/>
      <c r="H31" s="11"/>
    </row>
    <row r="32" customFormat="false" ht="15" hidden="false" customHeight="true" outlineLevel="0" collapsed="false">
      <c r="A32" s="6" t="s">
        <v>224</v>
      </c>
      <c r="B32" s="6"/>
      <c r="C32" s="6"/>
      <c r="D32" s="6"/>
      <c r="E32" s="6"/>
      <c r="F32" s="22" t="n">
        <f aca="false">Data!C33*(1-Data!C37/100)</f>
        <v>77.6</v>
      </c>
      <c r="G32" s="38" t="s">
        <v>29</v>
      </c>
    </row>
    <row r="33" customFormat="false" ht="21.75" hidden="false" customHeight="true" outlineLevel="0" collapsed="false">
      <c r="A33" s="20" t="s">
        <v>225</v>
      </c>
      <c r="B33" s="20"/>
      <c r="C33" s="20"/>
      <c r="D33" s="20"/>
      <c r="E33" s="20"/>
      <c r="F33" s="20"/>
      <c r="G33" s="20"/>
      <c r="H33" s="20"/>
    </row>
    <row r="34" customFormat="false" ht="27.75" hidden="false" customHeight="true" outlineLevel="0" collapsed="false">
      <c r="A34" s="46" t="s">
        <v>226</v>
      </c>
      <c r="B34" s="46"/>
      <c r="C34" s="46" t="s">
        <v>227</v>
      </c>
      <c r="D34" s="46" t="s">
        <v>194</v>
      </c>
      <c r="E34" s="46" t="s">
        <v>228</v>
      </c>
      <c r="F34" s="46" t="s">
        <v>229</v>
      </c>
      <c r="G34" s="46" t="s">
        <v>129</v>
      </c>
      <c r="H34" s="46"/>
    </row>
    <row r="35" customFormat="false" ht="15" hidden="false" customHeight="true" outlineLevel="0" collapsed="false">
      <c r="A35" s="66" t="s">
        <v>230</v>
      </c>
      <c r="B35" s="66"/>
      <c r="C35" s="26" t="n">
        <f aca="false">D16</f>
        <v>1001</v>
      </c>
      <c r="D35" s="49" t="n">
        <f aca="false">1-D9*(_xlfn.NORM.S.DIST(D15,FALSE())-D15*(1-_xlfn.NORM.S.DIST(D15,TRUE())))/D10</f>
        <v>0.996344493654644</v>
      </c>
      <c r="E35" s="48" t="n">
        <f aca="false">B1_B2_Systems!D8*F32</f>
        <v>564928</v>
      </c>
      <c r="F35" s="48" t="n">
        <f aca="false">Data!C35/D23+F32*Data!C34*(D15*D9+D10/2)+Data!C36*(1-_xlfn.NORM.S.DIST(D15,TRUE()))/D23</f>
        <v>4726.66776799021</v>
      </c>
      <c r="G35" s="50" t="n">
        <f aca="false">E35+F35</f>
        <v>569654.66776799</v>
      </c>
      <c r="H35" s="50"/>
    </row>
    <row r="36" customFormat="false" ht="15" hidden="false" customHeight="true" outlineLevel="0" collapsed="false">
      <c r="A36" s="66" t="s">
        <v>231</v>
      </c>
      <c r="B36" s="66"/>
      <c r="C36" s="26" t="n">
        <f aca="false">F16</f>
        <v>692</v>
      </c>
      <c r="D36" s="49" t="n">
        <f aca="false">1-F9*(_xlfn.NORM.S.DIST(F15,FALSE())-F15*(1-_xlfn.NORM.S.DIST(F15,TRUE())))/F10</f>
        <v>0.994030583134915</v>
      </c>
      <c r="E36" s="48" t="n">
        <f aca="false">B1_B2_Systems!D8*F32</f>
        <v>564928</v>
      </c>
      <c r="F36" s="48" t="n">
        <f aca="false">Data!C35/F23+F32*Data!C34*(F15*F9+F10/2)+Data!C36*(1-_xlfn.NORM.S.DIST(F15,TRUE()))/F23</f>
        <v>4714.02513161147</v>
      </c>
      <c r="G36" s="50" t="n">
        <f aca="false">E36+F36</f>
        <v>569642.025131612</v>
      </c>
      <c r="H36" s="50"/>
    </row>
    <row r="37" customFormat="false" ht="15" hidden="false" customHeight="true" outlineLevel="0" collapsed="false">
      <c r="A37" s="66" t="s">
        <v>232</v>
      </c>
      <c r="B37" s="66"/>
      <c r="C37" s="26" t="n">
        <f aca="false">D26</f>
        <v>960</v>
      </c>
      <c r="D37" s="49" t="n">
        <f aca="false">D28</f>
        <v>0.990748418698683</v>
      </c>
      <c r="E37" s="48" t="n">
        <f aca="false">B1_B2_Systems!D8*F32</f>
        <v>564928</v>
      </c>
      <c r="F37" s="48" t="n">
        <f aca="false">Data!C35/D23+F32*Data!C34*(D25*D9+D10/2)+Data!C36*(1-_xlfn.NORM.S.DIST(D25,TRUE()))/D23</f>
        <v>4414.14307458651</v>
      </c>
      <c r="G37" s="67" t="n">
        <f aca="false">E37+F37</f>
        <v>569342.143074587</v>
      </c>
      <c r="H37" s="67"/>
    </row>
    <row r="38" customFormat="false" ht="15" hidden="false" customHeight="true" outlineLevel="0" collapsed="false">
      <c r="A38" s="66" t="s">
        <v>233</v>
      </c>
      <c r="B38" s="66"/>
      <c r="C38" s="26" t="n">
        <f aca="false">F26</f>
        <v>686</v>
      </c>
      <c r="D38" s="49" t="n">
        <f aca="false">F28</f>
        <v>0.992909042165859</v>
      </c>
      <c r="E38" s="48" t="n">
        <f aca="false">B1_B2_Systems!D8*F32</f>
        <v>564928</v>
      </c>
      <c r="F38" s="48" t="n">
        <f aca="false">Data!C35/F23+F32*Data!C34*(F25*F9+F10/2)+Data!C36*(1-_xlfn.NORM.S.DIST(F25,TRUE()))/F23</f>
        <v>4669.85664519284</v>
      </c>
      <c r="G38" s="50" t="n">
        <f aca="false">E38+F38</f>
        <v>569597.856645193</v>
      </c>
      <c r="H38" s="50"/>
    </row>
    <row r="39" customFormat="false" ht="15" hidden="false" customHeight="true" outlineLevel="0" collapsed="false">
      <c r="A39" s="66" t="s">
        <v>234</v>
      </c>
      <c r="B39" s="66"/>
      <c r="C39" s="26" t="n">
        <f aca="false">B3_Improved!D10</f>
        <v>355</v>
      </c>
      <c r="D39" s="49" t="n">
        <f aca="false">B3_Improved!D12</f>
        <v>0.994188682880618</v>
      </c>
      <c r="E39" s="48" t="n">
        <f aca="false">B1_B2_Systems!D8*Data!C33</f>
        <v>582400</v>
      </c>
      <c r="F39" s="48" t="n">
        <f aca="false">B3_Improved!G25</f>
        <v>4020.91803278689</v>
      </c>
      <c r="G39" s="50" t="n">
        <f aca="false">E39+F39</f>
        <v>586420.918032787</v>
      </c>
      <c r="H39" s="50"/>
    </row>
    <row r="40" customFormat="false" ht="15" hidden="false" customHeight="true" outlineLevel="0" collapsed="false">
      <c r="A40" s="51" t="s">
        <v>235</v>
      </c>
      <c r="B40" s="51"/>
      <c r="C40" s="51"/>
      <c r="D40" s="51"/>
      <c r="E40" s="51"/>
      <c r="F40" s="51"/>
      <c r="G40" s="68" t="n">
        <f aca="false">MIN(G35:G39)</f>
        <v>569342.143074587</v>
      </c>
      <c r="H40" s="68"/>
    </row>
    <row r="41" customFormat="false" ht="21.75" hidden="false" customHeight="true" outlineLevel="0" collapsed="false">
      <c r="A41" s="53" t="s">
        <v>236</v>
      </c>
      <c r="B41" s="53"/>
      <c r="C41" s="53"/>
      <c r="D41" s="53"/>
      <c r="E41" s="53"/>
      <c r="F41" s="53"/>
      <c r="G41" s="53"/>
      <c r="H41" s="53"/>
    </row>
    <row r="42" customFormat="false" ht="21.75" hidden="false" customHeight="true" outlineLevel="0" collapsed="false">
      <c r="A42" s="53" t="s">
        <v>237</v>
      </c>
      <c r="B42" s="53"/>
      <c r="C42" s="53"/>
      <c r="D42" s="53"/>
      <c r="E42" s="53"/>
      <c r="F42" s="53"/>
      <c r="G42" s="53"/>
      <c r="H42" s="53"/>
    </row>
  </sheetData>
  <mergeCells count="81">
    <mergeCell ref="A1:H1"/>
    <mergeCell ref="A2:H2"/>
    <mergeCell ref="A4:H4"/>
    <mergeCell ref="A5:C5"/>
    <mergeCell ref="D5:E5"/>
    <mergeCell ref="F5:G5"/>
    <mergeCell ref="A6:C6"/>
    <mergeCell ref="D6:E6"/>
    <mergeCell ref="F6:G6"/>
    <mergeCell ref="A7:C7"/>
    <mergeCell ref="D7:E7"/>
    <mergeCell ref="F7:G7"/>
    <mergeCell ref="A8:C8"/>
    <mergeCell ref="D8:E8"/>
    <mergeCell ref="F8:G8"/>
    <mergeCell ref="A9:C9"/>
    <mergeCell ref="D9:E9"/>
    <mergeCell ref="F9:G9"/>
    <mergeCell ref="A10:C10"/>
    <mergeCell ref="D10:E10"/>
    <mergeCell ref="F10:G10"/>
    <mergeCell ref="A12:H12"/>
    <mergeCell ref="A13:H13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7:C17"/>
    <mergeCell ref="D17:E17"/>
    <mergeCell ref="F17:G17"/>
    <mergeCell ref="A18:H18"/>
    <mergeCell ref="A20:H20"/>
    <mergeCell ref="A21:H21"/>
    <mergeCell ref="A22:C22"/>
    <mergeCell ref="D22:E22"/>
    <mergeCell ref="F22:G22"/>
    <mergeCell ref="A23:C23"/>
    <mergeCell ref="D23:E23"/>
    <mergeCell ref="F23:G23"/>
    <mergeCell ref="A24:C24"/>
    <mergeCell ref="D24:E24"/>
    <mergeCell ref="F24:G24"/>
    <mergeCell ref="A25:C25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1:H31"/>
    <mergeCell ref="A32:E32"/>
    <mergeCell ref="A33:H33"/>
    <mergeCell ref="A34:B34"/>
    <mergeCell ref="G34:H34"/>
    <mergeCell ref="A35:B35"/>
    <mergeCell ref="G35:H35"/>
    <mergeCell ref="A36:B36"/>
    <mergeCell ref="G36:H36"/>
    <mergeCell ref="A37:B37"/>
    <mergeCell ref="G37:H37"/>
    <mergeCell ref="A38:B38"/>
    <mergeCell ref="G38:H38"/>
    <mergeCell ref="A39:B39"/>
    <mergeCell ref="G39:H39"/>
    <mergeCell ref="A40:F40"/>
    <mergeCell ref="G40:H40"/>
    <mergeCell ref="A41:H41"/>
    <mergeCell ref="A42:H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F8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4" min="2" style="1" width="12"/>
  </cols>
  <sheetData>
    <row r="1" customFormat="false" ht="15" hidden="false" customHeight="true" outlineLevel="0" collapsed="false">
      <c r="A1" s="69" t="s">
        <v>238</v>
      </c>
    </row>
    <row r="2" customFormat="false" ht="21.75" hidden="false" customHeight="true" outlineLevel="0" collapsed="false">
      <c r="A2" s="20" t="s">
        <v>239</v>
      </c>
      <c r="B2" s="20"/>
      <c r="C2" s="20"/>
      <c r="D2" s="20"/>
      <c r="E2" s="20"/>
      <c r="F2" s="20"/>
    </row>
    <row r="3" customFormat="false" ht="15" hidden="false" customHeight="true" outlineLevel="0" collapsed="false">
      <c r="A3" s="12" t="s">
        <v>240</v>
      </c>
      <c r="B3" s="12" t="s">
        <v>241</v>
      </c>
      <c r="C3" s="12" t="s">
        <v>242</v>
      </c>
      <c r="D3" s="12" t="s">
        <v>243</v>
      </c>
    </row>
    <row r="4" customFormat="false" ht="15" hidden="false" customHeight="true" outlineLevel="0" collapsed="false">
      <c r="A4" s="70" t="n">
        <v>0</v>
      </c>
      <c r="B4" s="71" t="n">
        <f aca="false">_xlfn.NORM.S.DIST(A4,FALSE())</f>
        <v>0.398942280401433</v>
      </c>
      <c r="C4" s="71" t="n">
        <f aca="false">_xlfn.NORM.S.DIST(A4,TRUE())</f>
        <v>0.5</v>
      </c>
      <c r="D4" s="71" t="n">
        <f aca="false">B4-A4*(1-C4)</f>
        <v>0.398942280401433</v>
      </c>
    </row>
    <row r="5" customFormat="false" ht="15" hidden="false" customHeight="true" outlineLevel="0" collapsed="false">
      <c r="A5" s="70" t="n">
        <v>0.005</v>
      </c>
      <c r="B5" s="71" t="n">
        <f aca="false">_xlfn.NORM.S.DIST(A5,FALSE())</f>
        <v>0.398937293654095</v>
      </c>
      <c r="C5" s="71" t="n">
        <f aca="false">_xlfn.NORM.S.DIST(A5,TRUE())</f>
        <v>0.501994703090741</v>
      </c>
      <c r="D5" s="71" t="n">
        <f aca="false">B5-A5*(1-C5)</f>
        <v>0.396447267169549</v>
      </c>
    </row>
    <row r="6" customFormat="false" ht="15" hidden="false" customHeight="true" outlineLevel="0" collapsed="false">
      <c r="A6" s="70" t="n">
        <v>0.01</v>
      </c>
      <c r="B6" s="71" t="n">
        <f aca="false">_xlfn.NORM.S.DIST(A6,FALSE())</f>
        <v>0.398922333786082</v>
      </c>
      <c r="C6" s="71" t="n">
        <f aca="false">_xlfn.NORM.S.DIST(A6,TRUE())</f>
        <v>0.503989356314632</v>
      </c>
      <c r="D6" s="71" t="n">
        <f aca="false">B6-A6*(1-C6)</f>
        <v>0.393962227349229</v>
      </c>
    </row>
    <row r="7" customFormat="false" ht="15" hidden="false" customHeight="true" outlineLevel="0" collapsed="false">
      <c r="A7" s="70" t="n">
        <v>0.015</v>
      </c>
      <c r="B7" s="71" t="n">
        <f aca="false">_xlfn.NORM.S.DIST(A7,FALSE())</f>
        <v>0.39889740191935</v>
      </c>
      <c r="C7" s="71" t="n">
        <f aca="false">_xlfn.NORM.S.DIST(A7,TRUE())</f>
        <v>0.505983909808562</v>
      </c>
      <c r="D7" s="71" t="n">
        <f aca="false">B7-A7*(1-C7)</f>
        <v>0.391487160566478</v>
      </c>
    </row>
    <row r="8" customFormat="false" ht="15" hidden="false" customHeight="true" outlineLevel="0" collapsed="false">
      <c r="A8" s="70" t="n">
        <v>0.02</v>
      </c>
      <c r="B8" s="71" t="n">
        <f aca="false">_xlfn.NORM.S.DIST(A8,FALSE())</f>
        <v>0.398862499923666</v>
      </c>
      <c r="C8" s="71" t="n">
        <f aca="false">_xlfn.NORM.S.DIST(A8,TRUE())</f>
        <v>0.507978313716902</v>
      </c>
      <c r="D8" s="71" t="n">
        <f aca="false">B8-A8*(1-C8)</f>
        <v>0.389022066198004</v>
      </c>
    </row>
    <row r="9" customFormat="false" ht="15" hidden="false" customHeight="true" outlineLevel="0" collapsed="false">
      <c r="A9" s="70" t="n">
        <v>0.025</v>
      </c>
      <c r="B9" s="71" t="n">
        <f aca="false">_xlfn.NORM.S.DIST(A9,FALSE())</f>
        <v>0.398817630416382</v>
      </c>
      <c r="C9" s="71" t="n">
        <f aca="false">_xlfn.NORM.S.DIST(A9,TRUE())</f>
        <v>0.509972518195238</v>
      </c>
      <c r="D9" s="71" t="n">
        <f aca="false">B9-A9*(1-C9)</f>
        <v>0.386566943371263</v>
      </c>
    </row>
    <row r="10" customFormat="false" ht="15" hidden="false" customHeight="true" outlineLevel="0" collapsed="false">
      <c r="A10" s="70" t="n">
        <v>0.03</v>
      </c>
      <c r="B10" s="71" t="n">
        <f aca="false">_xlfn.NORM.S.DIST(A10,FALSE())</f>
        <v>0.3987627967621</v>
      </c>
      <c r="C10" s="71" t="n">
        <f aca="false">_xlfn.NORM.S.DIST(A10,TRUE())</f>
        <v>0.511966473414113</v>
      </c>
      <c r="D10" s="71" t="n">
        <f aca="false">B10-A10*(1-C10)</f>
        <v>0.384121790964523</v>
      </c>
    </row>
    <row r="11" customFormat="false" ht="15" hidden="false" customHeight="true" outlineLevel="0" collapsed="false">
      <c r="A11" s="70" t="n">
        <v>0.035</v>
      </c>
      <c r="B11" s="71" t="n">
        <f aca="false">_xlfn.NORM.S.DIST(A11,FALSE())</f>
        <v>0.398698003072256</v>
      </c>
      <c r="C11" s="71" t="n">
        <f aca="false">_xlfn.NORM.S.DIST(A11,TRUE())</f>
        <v>0.513960129562758</v>
      </c>
      <c r="D11" s="71" t="n">
        <f aca="false">B11-A11*(1-C11)</f>
        <v>0.381686607606952</v>
      </c>
    </row>
    <row r="12" customFormat="false" ht="15" hidden="false" customHeight="true" outlineLevel="0" collapsed="false">
      <c r="A12" s="70" t="n">
        <v>0.04</v>
      </c>
      <c r="B12" s="71" t="n">
        <f aca="false">_xlfn.NORM.S.DIST(A12,FALSE())</f>
        <v>0.398623254204605</v>
      </c>
      <c r="C12" s="71" t="n">
        <f aca="false">_xlfn.NORM.S.DIST(A12,TRUE())</f>
        <v>0.515953436852831</v>
      </c>
      <c r="D12" s="71" t="n">
        <f aca="false">B12-A12*(1-C12)</f>
        <v>0.379261391678718</v>
      </c>
    </row>
    <row r="13" customFormat="false" ht="15" hidden="false" customHeight="true" outlineLevel="0" collapsed="false">
      <c r="A13" s="70" t="n">
        <v>0.045</v>
      </c>
      <c r="B13" s="71" t="n">
        <f aca="false">_xlfn.NORM.S.DIST(A13,FALSE())</f>
        <v>0.398538555762615</v>
      </c>
      <c r="C13" s="71" t="n">
        <f aca="false">_xlfn.NORM.S.DIST(A13,TRUE())</f>
        <v>0.517946345522139</v>
      </c>
      <c r="D13" s="71" t="n">
        <f aca="false">B13-A13*(1-C13)</f>
        <v>0.376846141311111</v>
      </c>
    </row>
    <row r="14" customFormat="false" ht="15" hidden="false" customHeight="true" outlineLevel="0" collapsed="false">
      <c r="A14" s="70" t="n">
        <v>0.05</v>
      </c>
      <c r="B14" s="71" t="n">
        <f aca="false">_xlfn.NORM.S.DIST(A14,FALSE())</f>
        <v>0.398443914094764</v>
      </c>
      <c r="C14" s="71" t="n">
        <f aca="false">_xlfn.NORM.S.DIST(A14,TRUE())</f>
        <v>0.519938805838373</v>
      </c>
      <c r="D14" s="71" t="n">
        <f aca="false">B14-A14*(1-C14)</f>
        <v>0.374440854386683</v>
      </c>
    </row>
    <row r="15" customFormat="false" ht="15" hidden="false" customHeight="true" outlineLevel="0" collapsed="false">
      <c r="A15" s="70" t="n">
        <v>0.055</v>
      </c>
      <c r="B15" s="71" t="n">
        <f aca="false">_xlfn.NORM.S.DIST(A15,FALSE())</f>
        <v>0.398339336293751</v>
      </c>
      <c r="C15" s="71" t="n">
        <f aca="false">_xlfn.NORM.S.DIST(A15,TRUE())</f>
        <v>0.521930768102824</v>
      </c>
      <c r="D15" s="71" t="n">
        <f aca="false">B15-A15*(1-C15)</f>
        <v>0.372045528539406</v>
      </c>
    </row>
    <row r="16" customFormat="false" ht="15" hidden="false" customHeight="true" outlineLevel="0" collapsed="false">
      <c r="A16" s="70" t="n">
        <v>0.06</v>
      </c>
      <c r="B16" s="71" t="n">
        <f aca="false">_xlfn.NORM.S.DIST(A16,FALSE())</f>
        <v>0.398224830195607</v>
      </c>
      <c r="C16" s="71" t="n">
        <f aca="false">_xlfn.NORM.S.DIST(A16,TRUE())</f>
        <v>0.523922182654107</v>
      </c>
      <c r="D16" s="71" t="n">
        <f aca="false">B16-A16*(1-C16)</f>
        <v>0.369660161154853</v>
      </c>
    </row>
    <row r="17" customFormat="false" ht="15" hidden="false" customHeight="true" outlineLevel="0" collapsed="false">
      <c r="A17" s="70" t="n">
        <v>0.065</v>
      </c>
      <c r="B17" s="71" t="n">
        <f aca="false">_xlfn.NORM.S.DIST(A17,FALSE())</f>
        <v>0.398100404378717</v>
      </c>
      <c r="C17" s="71" t="n">
        <f aca="false">_xlfn.NORM.S.DIST(A17,TRUE())</f>
        <v>0.525912999871874</v>
      </c>
      <c r="D17" s="71" t="n">
        <f aca="false">B17-A17*(1-C17)</f>
        <v>0.367284749370389</v>
      </c>
    </row>
    <row r="18" customFormat="false" ht="15" hidden="false" customHeight="true" outlineLevel="0" collapsed="false">
      <c r="A18" s="70" t="n">
        <v>0.07</v>
      </c>
      <c r="B18" s="71" t="n">
        <f aca="false">_xlfn.NORM.S.DIST(A18,FALSE())</f>
        <v>0.397966068162751</v>
      </c>
      <c r="C18" s="71" t="n">
        <f aca="false">_xlfn.NORM.S.DIST(A18,TRUE())</f>
        <v>0.527903170180521</v>
      </c>
      <c r="D18" s="71" t="n">
        <f aca="false">B18-A18*(1-C18)</f>
        <v>0.364919290075388</v>
      </c>
    </row>
    <row r="19" customFormat="false" ht="15" hidden="false" customHeight="true" outlineLevel="0" collapsed="false">
      <c r="A19" s="70" t="n">
        <v>0.075</v>
      </c>
      <c r="B19" s="71" t="n">
        <f aca="false">_xlfn.NORM.S.DIST(A19,FALSE())</f>
        <v>0.397821831607497</v>
      </c>
      <c r="C19" s="71" t="n">
        <f aca="false">_xlfn.NORM.S.DIST(A19,TRUE())</f>
        <v>0.529892644052895</v>
      </c>
      <c r="D19" s="71" t="n">
        <f aca="false">B19-A19*(1-C19)</f>
        <v>0.362563779911464</v>
      </c>
    </row>
    <row r="20" customFormat="false" ht="15" hidden="false" customHeight="true" outlineLevel="0" collapsed="false">
      <c r="A20" s="70" t="n">
        <v>0.08</v>
      </c>
      <c r="B20" s="71" t="n">
        <f aca="false">_xlfn.NORM.S.DIST(A20,FALSE())</f>
        <v>0.397667705511609</v>
      </c>
      <c r="C20" s="71" t="n">
        <f aca="false">_xlfn.NORM.S.DIST(A20,TRUE())</f>
        <v>0.531881372013987</v>
      </c>
      <c r="D20" s="71" t="n">
        <f aca="false">B20-A20*(1-C20)</f>
        <v>0.360218215272728</v>
      </c>
    </row>
    <row r="21" customFormat="false" ht="15" hidden="false" customHeight="true" outlineLevel="0" collapsed="false">
      <c r="A21" s="70" t="n">
        <v>0.085</v>
      </c>
      <c r="B21" s="71" t="n">
        <f aca="false">_xlfn.NORM.S.DIST(A21,FALSE())</f>
        <v>0.397503701411257</v>
      </c>
      <c r="C21" s="71" t="n">
        <f aca="false">_xlfn.NORM.S.DIST(A21,TRUE())</f>
        <v>0.533869304644629</v>
      </c>
      <c r="D21" s="71" t="n">
        <f aca="false">B21-A21*(1-C21)</f>
        <v>0.35788259230605</v>
      </c>
    </row>
    <row r="22" customFormat="false" ht="15" hidden="false" customHeight="true" outlineLevel="0" collapsed="false">
      <c r="A22" s="70" t="n">
        <v>0.09</v>
      </c>
      <c r="B22" s="71" t="n">
        <f aca="false">_xlfn.NORM.S.DIST(A22,FALSE())</f>
        <v>0.397329831578688</v>
      </c>
      <c r="C22" s="71" t="n">
        <f aca="false">_xlfn.NORM.S.DIST(A22,TRUE())</f>
        <v>0.535856392585172</v>
      </c>
      <c r="D22" s="71" t="n">
        <f aca="false">B22-A22*(1-C22)</f>
        <v>0.355556906911354</v>
      </c>
    </row>
    <row r="23" customFormat="false" ht="15" hidden="false" customHeight="true" outlineLevel="0" collapsed="false">
      <c r="A23" s="70" t="n">
        <v>0.095</v>
      </c>
      <c r="B23" s="71" t="n">
        <f aca="false">_xlfn.NORM.S.DIST(A23,FALSE())</f>
        <v>0.3971461090207</v>
      </c>
      <c r="C23" s="71" t="n">
        <f aca="false">_xlfn.NORM.S.DIST(A23,TRUE())</f>
        <v>0.537842586539166</v>
      </c>
      <c r="D23" s="71" t="n">
        <f aca="false">B23-A23*(1-C23)</f>
        <v>0.35324115474192</v>
      </c>
    </row>
    <row r="24" customFormat="false" ht="15" hidden="false" customHeight="true" outlineLevel="0" collapsed="false">
      <c r="A24" s="70" t="n">
        <v>0.1</v>
      </c>
      <c r="B24" s="71" t="n">
        <f aca="false">_xlfn.NORM.S.DIST(A24,FALSE())</f>
        <v>0.396952547477012</v>
      </c>
      <c r="C24" s="71" t="n">
        <f aca="false">_xlfn.NORM.S.DIST(A24,TRUE())</f>
        <v>0.539827837277029</v>
      </c>
      <c r="D24" s="71" t="n">
        <f aca="false">B24-A24*(1-C24)</f>
        <v>0.350935331204715</v>
      </c>
    </row>
    <row r="25" customFormat="false" ht="15" hidden="false" customHeight="true" outlineLevel="0" collapsed="false">
      <c r="A25" s="70" t="n">
        <v>0.105</v>
      </c>
      <c r="B25" s="71" t="n">
        <f aca="false">_xlfn.NORM.S.DIST(A25,FALSE())</f>
        <v>0.396749161418559</v>
      </c>
      <c r="C25" s="71" t="n">
        <f aca="false">_xlfn.NORM.S.DIST(A25,TRUE())</f>
        <v>0.541812095639705</v>
      </c>
      <c r="D25" s="71" t="n">
        <f aca="false">B25-A25*(1-C25)</f>
        <v>0.348639431460728</v>
      </c>
    </row>
    <row r="26" customFormat="false" ht="15" hidden="false" customHeight="true" outlineLevel="0" collapsed="false">
      <c r="A26" s="70" t="n">
        <v>0.11</v>
      </c>
      <c r="B26" s="71" t="n">
        <f aca="false">_xlfn.NORM.S.DIST(A26,FALSE())</f>
        <v>0.396535966045686</v>
      </c>
      <c r="C26" s="71" t="n">
        <f aca="false">_xlfn.NORM.S.DIST(A26,TRUE())</f>
        <v>0.543795312542317</v>
      </c>
      <c r="D26" s="71" t="n">
        <f aca="false">B26-A26*(1-C26)</f>
        <v>0.346353450425341</v>
      </c>
    </row>
    <row r="27" customFormat="false" ht="15" hidden="false" customHeight="true" outlineLevel="0" collapsed="false">
      <c r="A27" s="70" t="n">
        <v>0.115</v>
      </c>
      <c r="B27" s="71" t="n">
        <f aca="false">_xlfn.NORM.S.DIST(A27,FALSE())</f>
        <v>0.396312977286253</v>
      </c>
      <c r="C27" s="71" t="n">
        <f aca="false">_xlfn.NORM.S.DIST(A27,TRUE())</f>
        <v>0.54577743897781</v>
      </c>
      <c r="D27" s="71" t="n">
        <f aca="false">B27-A27*(1-C27)</f>
        <v>0.344077382768702</v>
      </c>
    </row>
    <row r="28" customFormat="false" ht="15" hidden="false" customHeight="true" outlineLevel="0" collapsed="false">
      <c r="A28" s="70" t="n">
        <v>0.12</v>
      </c>
      <c r="B28" s="71" t="n">
        <f aca="false">_xlfn.NORM.S.DIST(A28,FALSE())</f>
        <v>0.396080211793656</v>
      </c>
      <c r="C28" s="71" t="n">
        <f aca="false">_xlfn.NORM.S.DIST(A28,TRUE())</f>
        <v>0.547758426020584</v>
      </c>
      <c r="D28" s="71" t="n">
        <f aca="false">B28-A28*(1-C28)</f>
        <v>0.341811222916126</v>
      </c>
    </row>
    <row r="29" customFormat="false" ht="15" hidden="false" customHeight="true" outlineLevel="0" collapsed="false">
      <c r="A29" s="70" t="n">
        <v>0.125</v>
      </c>
      <c r="B29" s="71" t="n">
        <f aca="false">_xlfn.NORM.S.DIST(A29,FALSE())</f>
        <v>0.39583768694475</v>
      </c>
      <c r="C29" s="71" t="n">
        <f aca="false">_xlfn.NORM.S.DIST(A29,TRUE())</f>
        <v>0.549738224830113</v>
      </c>
      <c r="D29" s="71" t="n">
        <f aca="false">B29-A29*(1-C29)</f>
        <v>0.339554965048514</v>
      </c>
    </row>
    <row r="30" customFormat="false" ht="15" hidden="false" customHeight="true" outlineLevel="0" collapsed="false">
      <c r="A30" s="70" t="n">
        <v>0.13</v>
      </c>
      <c r="B30" s="71" t="n">
        <f aca="false">_xlfn.NORM.S.DIST(A30,FALSE())</f>
        <v>0.395585420837687</v>
      </c>
      <c r="C30" s="71" t="n">
        <f aca="false">_xlfn.NORM.S.DIST(A30,TRUE())</f>
        <v>0.551716786654561</v>
      </c>
      <c r="D30" s="71" t="n">
        <f aca="false">B30-A30*(1-C30)</f>
        <v>0.33730860310278</v>
      </c>
    </row>
    <row r="31" customFormat="false" ht="15" hidden="false" customHeight="true" outlineLevel="0" collapsed="false">
      <c r="A31" s="70" t="n">
        <v>0.135</v>
      </c>
      <c r="B31" s="71" t="n">
        <f aca="false">_xlfn.NORM.S.DIST(A31,FALSE())</f>
        <v>0.395323432289671</v>
      </c>
      <c r="C31" s="71" t="n">
        <f aca="false">_xlfn.NORM.S.DIST(A31,TRUE())</f>
        <v>0.553694062834382</v>
      </c>
      <c r="D31" s="71" t="n">
        <f aca="false">B31-A31*(1-C31)</f>
        <v>0.335072130772313</v>
      </c>
    </row>
    <row r="32" customFormat="false" ht="15" hidden="false" customHeight="true" outlineLevel="0" collapsed="false">
      <c r="A32" s="70" t="n">
        <v>0.14</v>
      </c>
      <c r="B32" s="71" t="n">
        <f aca="false">_xlfn.NORM.S.DIST(A32,FALSE())</f>
        <v>0.395051740834611</v>
      </c>
      <c r="C32" s="71" t="n">
        <f aca="false">_xlfn.NORM.S.DIST(A32,TRUE())</f>
        <v>0.555670004805906</v>
      </c>
      <c r="D32" s="71" t="n">
        <f aca="false">B32-A32*(1-C32)</f>
        <v>0.332845541507438</v>
      </c>
    </row>
    <row r="33" customFormat="false" ht="15" hidden="false" customHeight="true" outlineLevel="0" collapsed="false">
      <c r="A33" s="70" t="n">
        <v>0.145</v>
      </c>
      <c r="B33" s="71" t="n">
        <f aca="false">_xlfn.NORM.S.DIST(A33,FALSE())</f>
        <v>0.394770366720698</v>
      </c>
      <c r="C33" s="71" t="n">
        <f aca="false">_xlfn.NORM.S.DIST(A33,TRUE())</f>
        <v>0.557644564104924</v>
      </c>
      <c r="D33" s="71" t="n">
        <f aca="false">B33-A33*(1-C33)</f>
        <v>0.330628828515912</v>
      </c>
    </row>
    <row r="34" customFormat="false" ht="15" hidden="false" customHeight="true" outlineLevel="0" collapsed="false">
      <c r="A34" s="70" t="n">
        <v>0.15</v>
      </c>
      <c r="B34" s="71" t="n">
        <f aca="false">_xlfn.NORM.S.DIST(A34,FALSE())</f>
        <v>0.394479330907889</v>
      </c>
      <c r="C34" s="71" t="n">
        <f aca="false">_xlfn.NORM.S.DIST(A34,TRUE())</f>
        <v>0.559617692370243</v>
      </c>
      <c r="D34" s="71" t="n">
        <f aca="false">B34-A34*(1-C34)</f>
        <v>0.328421984763425</v>
      </c>
    </row>
    <row r="35" customFormat="false" ht="15" hidden="false" customHeight="true" outlineLevel="0" collapsed="false">
      <c r="A35" s="70" t="n">
        <v>0.155</v>
      </c>
      <c r="B35" s="71" t="n">
        <f aca="false">_xlfn.NORM.S.DIST(A35,FALSE())</f>
        <v>0.394178655065305</v>
      </c>
      <c r="C35" s="71" t="n">
        <f aca="false">_xlfn.NORM.S.DIST(A35,TRUE())</f>
        <v>0.561589341347247</v>
      </c>
      <c r="D35" s="71" t="n">
        <f aca="false">B35-A35*(1-C35)</f>
        <v>0.326225002974128</v>
      </c>
    </row>
    <row r="36" customFormat="false" ht="15" hidden="false" customHeight="true" outlineLevel="0" collapsed="false">
      <c r="A36" s="70" t="n">
        <v>0.16</v>
      </c>
      <c r="B36" s="71" t="n">
        <f aca="false">_xlfn.NORM.S.DIST(A36,FALSE())</f>
        <v>0.393868361568541</v>
      </c>
      <c r="C36" s="71" t="n">
        <f aca="false">_xlfn.NORM.S.DIST(A36,TRUE())</f>
        <v>0.563559462891433</v>
      </c>
      <c r="D36" s="71" t="n">
        <f aca="false">B36-A36*(1-C36)</f>
        <v>0.32403787563117</v>
      </c>
    </row>
    <row r="37" customFormat="false" ht="15" hidden="false" customHeight="true" outlineLevel="0" collapsed="false">
      <c r="A37" s="70" t="n">
        <v>0.165</v>
      </c>
      <c r="B37" s="71" t="n">
        <f aca="false">_xlfn.NORM.S.DIST(A37,FALSE())</f>
        <v>0.393548473496894</v>
      </c>
      <c r="C37" s="71" t="n">
        <f aca="false">_xlfn.NORM.S.DIST(A37,TRUE())</f>
        <v>0.565528008971935</v>
      </c>
      <c r="D37" s="71" t="n">
        <f aca="false">B37-A37*(1-C37)</f>
        <v>0.321860594977263</v>
      </c>
    </row>
    <row r="38" customFormat="false" ht="15" hidden="false" customHeight="true" outlineLevel="0" collapsed="false">
      <c r="A38" s="70" t="n">
        <v>0.17</v>
      </c>
      <c r="B38" s="71" t="n">
        <f aca="false">_xlfn.NORM.S.DIST(A38,FALSE())</f>
        <v>0.393219014630497</v>
      </c>
      <c r="C38" s="71" t="n">
        <f aca="false">_xlfn.NORM.S.DIST(A38,TRUE())</f>
        <v>0.567494931675038</v>
      </c>
      <c r="D38" s="71" t="n">
        <f aca="false">B38-A38*(1-C38)</f>
        <v>0.319693153015254</v>
      </c>
    </row>
    <row r="39" customFormat="false" ht="15" hidden="false" customHeight="true" outlineLevel="0" collapsed="false">
      <c r="A39" s="70" t="n">
        <v>0.175</v>
      </c>
      <c r="B39" s="71" t="n">
        <f aca="false">_xlfn.NORM.S.DIST(A39,FALSE())</f>
        <v>0.392880009447379</v>
      </c>
      <c r="C39" s="71" t="n">
        <f aca="false">_xlfn.NORM.S.DIST(A39,TRUE())</f>
        <v>0.569460183207674</v>
      </c>
      <c r="D39" s="71" t="n">
        <f aca="false">B39-A39*(1-C39)</f>
        <v>0.317535541508722</v>
      </c>
    </row>
    <row r="40" customFormat="false" ht="15" hidden="false" customHeight="true" outlineLevel="0" collapsed="false">
      <c r="A40" s="70" t="n">
        <v>0.18</v>
      </c>
      <c r="B40" s="71" t="n">
        <f aca="false">_xlfn.NORM.S.DIST(A40,FALSE())</f>
        <v>0.392531483120429</v>
      </c>
      <c r="C40" s="71" t="n">
        <f aca="false">_xlfn.NORM.S.DIST(A40,TRUE())</f>
        <v>0.571423715900901</v>
      </c>
      <c r="D40" s="71" t="n">
        <f aca="false">B40-A40*(1-C40)</f>
        <v>0.315387751982591</v>
      </c>
    </row>
    <row r="41" customFormat="false" ht="15" hidden="false" customHeight="true" outlineLevel="0" collapsed="false">
      <c r="A41" s="70" t="n">
        <v>0.185</v>
      </c>
      <c r="B41" s="71" t="n">
        <f aca="false">_xlfn.NORM.S.DIST(A41,FALSE())</f>
        <v>0.392173461514282</v>
      </c>
      <c r="C41" s="71" t="n">
        <f aca="false">_xlfn.NORM.S.DIST(A41,TRUE())</f>
        <v>0.573385482213374</v>
      </c>
      <c r="D41" s="71" t="n">
        <f aca="false">B41-A41*(1-C41)</f>
        <v>0.313249775723756</v>
      </c>
    </row>
    <row r="42" customFormat="false" ht="15" hidden="false" customHeight="true" outlineLevel="0" collapsed="false">
      <c r="A42" s="70" t="n">
        <v>0.19</v>
      </c>
      <c r="B42" s="71" t="n">
        <f aca="false">_xlfn.NORM.S.DIST(A42,FALSE())</f>
        <v>0.391805971182121</v>
      </c>
      <c r="C42" s="71" t="n">
        <f aca="false">_xlfn.NORM.S.DIST(A42,TRUE())</f>
        <v>0.575345434734796</v>
      </c>
      <c r="D42" s="71" t="n">
        <f aca="false">B42-A42*(1-C42)</f>
        <v>0.311121603781732</v>
      </c>
    </row>
    <row r="43" customFormat="false" ht="15" hidden="false" customHeight="true" outlineLevel="0" collapsed="false">
      <c r="A43" s="70" t="n">
        <v>0.195</v>
      </c>
      <c r="B43" s="71" t="n">
        <f aca="false">_xlfn.NORM.S.DIST(A43,FALSE())</f>
        <v>0.391429039362396</v>
      </c>
      <c r="C43" s="71" t="n">
        <f aca="false">_xlfn.NORM.S.DIST(A43,TRUE())</f>
        <v>0.577303526189345</v>
      </c>
      <c r="D43" s="71" t="n">
        <f aca="false">B43-A43*(1-C43)</f>
        <v>0.309003226969318</v>
      </c>
    </row>
    <row r="44" customFormat="false" ht="15" hidden="false" customHeight="true" outlineLevel="0" collapsed="false">
      <c r="A44" s="70" t="n">
        <v>0.2</v>
      </c>
      <c r="B44" s="71" t="n">
        <f aca="false">_xlfn.NORM.S.DIST(A44,FALSE())</f>
        <v>0.391042693975456</v>
      </c>
      <c r="C44" s="71" t="n">
        <f aca="false">_xlfn.NORM.S.DIST(A44,TRUE())</f>
        <v>0.579259709439103</v>
      </c>
      <c r="D44" s="71" t="n">
        <f aca="false">B44-A44*(1-C44)</f>
        <v>0.306894635863277</v>
      </c>
    </row>
    <row r="45" customFormat="false" ht="15" hidden="false" customHeight="true" outlineLevel="0" collapsed="false">
      <c r="A45" s="70" t="n">
        <v>0.205</v>
      </c>
      <c r="B45" s="71" t="n">
        <f aca="false">_xlfn.NORM.S.DIST(A45,FALSE())</f>
        <v>0.390646963620105</v>
      </c>
      <c r="C45" s="71" t="n">
        <f aca="false">_xlfn.NORM.S.DIST(A45,TRUE())</f>
        <v>0.581213937487448</v>
      </c>
      <c r="D45" s="71" t="n">
        <f aca="false">B45-A45*(1-C45)</f>
        <v>0.304795820805032</v>
      </c>
    </row>
    <row r="46" customFormat="false" ht="15" hidden="false" customHeight="true" outlineLevel="0" collapsed="false">
      <c r="A46" s="70" t="n">
        <v>0.21</v>
      </c>
      <c r="B46" s="71" t="n">
        <f aca="false">_xlfn.NORM.S.DIST(A46,FALSE())</f>
        <v>0.390241877570074</v>
      </c>
      <c r="C46" s="71" t="n">
        <f aca="false">_xlfn.NORM.S.DIST(A46,TRUE())</f>
        <v>0.583166163482442</v>
      </c>
      <c r="D46" s="71" t="n">
        <f aca="false">B46-A46*(1-C46)</f>
        <v>0.302706771901387</v>
      </c>
    </row>
    <row r="47" customFormat="false" ht="15" hidden="false" customHeight="true" outlineLevel="0" collapsed="false">
      <c r="A47" s="70" t="n">
        <v>0.215</v>
      </c>
      <c r="B47" s="71" t="n">
        <f aca="false">_xlfn.NORM.S.DIST(A47,FALSE())</f>
        <v>0.389827465770411</v>
      </c>
      <c r="C47" s="71" t="n">
        <f aca="false">_xlfn.NORM.S.DIST(A47,TRUE())</f>
        <v>0.585116340720196</v>
      </c>
      <c r="D47" s="71" t="n">
        <f aca="false">B47-A47*(1-C47)</f>
        <v>0.300627479025253</v>
      </c>
    </row>
    <row r="48" customFormat="false" ht="15" hidden="false" customHeight="true" outlineLevel="0" collapsed="false">
      <c r="A48" s="70" t="n">
        <v>0.22</v>
      </c>
      <c r="B48" s="71" t="n">
        <f aca="false">_xlfn.NORM.S.DIST(A48,FALSE())</f>
        <v>0.38940375883379</v>
      </c>
      <c r="C48" s="71" t="n">
        <f aca="false">_xlfn.NORM.S.DIST(A48,TRUE())</f>
        <v>0.587064422648215</v>
      </c>
      <c r="D48" s="71" t="n">
        <f aca="false">B48-A48*(1-C48)</f>
        <v>0.298557931816398</v>
      </c>
    </row>
    <row r="49" customFormat="false" ht="15" hidden="false" customHeight="true" outlineLevel="0" collapsed="false">
      <c r="A49" s="70" t="n">
        <v>0.225</v>
      </c>
      <c r="B49" s="71" t="n">
        <f aca="false">_xlfn.NORM.S.DIST(A49,FALSE())</f>
        <v>0.388970788036749</v>
      </c>
      <c r="C49" s="71" t="n">
        <f aca="false">_xlfn.NORM.S.DIST(A49,TRUE())</f>
        <v>0.58901036286873</v>
      </c>
      <c r="D49" s="71" t="n">
        <f aca="false">B49-A49*(1-C49)</f>
        <v>0.296498119682214</v>
      </c>
    </row>
    <row r="50" customFormat="false" ht="15" hidden="false" customHeight="true" outlineLevel="0" collapsed="false">
      <c r="A50" s="70" t="n">
        <v>0.23</v>
      </c>
      <c r="B50" s="71" t="n">
        <f aca="false">_xlfn.NORM.S.DIST(A50,FALSE())</f>
        <v>0.388528585315836</v>
      </c>
      <c r="C50" s="71" t="n">
        <f aca="false">_xlfn.NORM.S.DIST(A50,TRUE())</f>
        <v>0.590954115142006</v>
      </c>
      <c r="D50" s="71" t="n">
        <f aca="false">B50-A50*(1-C50)</f>
        <v>0.294448031798497</v>
      </c>
    </row>
    <row r="51" customFormat="false" ht="15" hidden="false" customHeight="true" outlineLevel="0" collapsed="false">
      <c r="A51" s="70" t="n">
        <v>0.235</v>
      </c>
      <c r="B51" s="71" t="n">
        <f aca="false">_xlfn.NORM.S.DIST(A51,FALSE())</f>
        <v>0.388077183263685</v>
      </c>
      <c r="C51" s="71" t="n">
        <f aca="false">_xlfn.NORM.S.DIST(A51,TRUE())</f>
        <v>0.592895633389633</v>
      </c>
      <c r="D51" s="71" t="n">
        <f aca="false">B51-A51*(1-C51)</f>
        <v>0.292407657110248</v>
      </c>
    </row>
    <row r="52" customFormat="false" ht="15" hidden="false" customHeight="true" outlineLevel="0" collapsed="false">
      <c r="A52" s="70" t="n">
        <v>0.24</v>
      </c>
      <c r="B52" s="71" t="n">
        <f aca="false">_xlfn.NORM.S.DIST(A52,FALSE())</f>
        <v>0.387616615125014</v>
      </c>
      <c r="C52" s="71" t="n">
        <f aca="false">_xlfn.NORM.S.DIST(A52,TRUE())</f>
        <v>0.594834871697796</v>
      </c>
      <c r="D52" s="71" t="n">
        <f aca="false">B52-A52*(1-C52)</f>
        <v>0.290376984332485</v>
      </c>
    </row>
    <row r="53" customFormat="false" ht="15" hidden="false" customHeight="true" outlineLevel="0" collapsed="false">
      <c r="A53" s="70" t="n">
        <v>0.245</v>
      </c>
      <c r="B53" s="71" t="n">
        <f aca="false">_xlfn.NORM.S.DIST(A53,FALSE())</f>
        <v>0.387146914792546</v>
      </c>
      <c r="C53" s="71" t="n">
        <f aca="false">_xlfn.NORM.S.DIST(A53,TRUE())</f>
        <v>0.596771784320524</v>
      </c>
      <c r="D53" s="71" t="n">
        <f aca="false">B53-A53*(1-C53)</f>
        <v>0.288356001951075</v>
      </c>
    </row>
    <row r="54" customFormat="false" ht="15" hidden="false" customHeight="true" outlineLevel="0" collapsed="false">
      <c r="A54" s="70" t="n">
        <v>0.25</v>
      </c>
      <c r="B54" s="71" t="n">
        <f aca="false">_xlfn.NORM.S.DIST(A54,FALSE())</f>
        <v>0.386668116802849</v>
      </c>
      <c r="C54" s="71" t="n">
        <f aca="false">_xlfn.NORM.S.DIST(A54,TRUE())</f>
        <v>0.598706325682924</v>
      </c>
      <c r="D54" s="71" t="n">
        <f aca="false">B54-A54*(1-C54)</f>
        <v>0.28634469822358</v>
      </c>
    </row>
    <row r="55" customFormat="false" ht="15" hidden="false" customHeight="true" outlineLevel="0" collapsed="false">
      <c r="A55" s="70" t="n">
        <v>0.255</v>
      </c>
      <c r="B55" s="71" t="n">
        <f aca="false">_xlfn.NORM.S.DIST(A55,FALSE())</f>
        <v>0.386180256332108</v>
      </c>
      <c r="C55" s="71" t="n">
        <f aca="false">_xlfn.NORM.S.DIST(A55,TRUE())</f>
        <v>0.600638450384383</v>
      </c>
      <c r="D55" s="71" t="n">
        <f aca="false">B55-A55*(1-C55)</f>
        <v>0.284343061180126</v>
      </c>
    </row>
    <row r="56" customFormat="false" ht="15" hidden="false" customHeight="true" outlineLevel="0" collapsed="false">
      <c r="A56" s="70" t="n">
        <v>0.26</v>
      </c>
      <c r="B56" s="71" t="n">
        <f aca="false">_xlfn.NORM.S.DIST(A56,FALSE())</f>
        <v>0.385683369191816</v>
      </c>
      <c r="C56" s="71" t="n">
        <f aca="false">_xlfn.NORM.S.DIST(A56,TRUE())</f>
        <v>0.602568113201761</v>
      </c>
      <c r="D56" s="71" t="n">
        <f aca="false">B56-A56*(1-C56)</f>
        <v>0.282351078624274</v>
      </c>
    </row>
    <row r="57" customFormat="false" ht="15" hidden="false" customHeight="true" outlineLevel="0" collapsed="false">
      <c r="A57" s="70" t="n">
        <v>0.265</v>
      </c>
      <c r="B57" s="71" t="n">
        <f aca="false">_xlfn.NORM.S.DIST(A57,FALSE())</f>
        <v>0.385177491824395</v>
      </c>
      <c r="C57" s="71" t="n">
        <f aca="false">_xlfn.NORM.S.DIST(A57,TRUE())</f>
        <v>0.604495269092554</v>
      </c>
      <c r="D57" s="71" t="n">
        <f aca="false">B57-A57*(1-C57)</f>
        <v>0.280368738133922</v>
      </c>
    </row>
    <row r="58" customFormat="false" ht="15" hidden="false" customHeight="true" outlineLevel="0" collapsed="false">
      <c r="A58" s="70" t="n">
        <v>0.27</v>
      </c>
      <c r="B58" s="71" t="n">
        <f aca="false">_xlfn.NORM.S.DIST(A58,FALSE())</f>
        <v>0.384662661298743</v>
      </c>
      <c r="C58" s="71" t="n">
        <f aca="false">_xlfn.NORM.S.DIST(A58,TRUE())</f>
        <v>0.60641987319804</v>
      </c>
      <c r="D58" s="71" t="n">
        <f aca="false">B58-A58*(1-C58)</f>
        <v>0.278396027062213</v>
      </c>
    </row>
    <row r="59" customFormat="false" ht="15" hidden="false" customHeight="true" outlineLevel="0" collapsed="false">
      <c r="A59" s="70" t="n">
        <v>0.275</v>
      </c>
      <c r="B59" s="71" t="n">
        <f aca="false">_xlfn.NORM.S.DIST(A59,FALSE())</f>
        <v>0.384138915305705</v>
      </c>
      <c r="C59" s="71" t="n">
        <f aca="false">_xlfn.NORM.S.DIST(A59,TRUE())</f>
        <v>0.608341880846395</v>
      </c>
      <c r="D59" s="71" t="n">
        <f aca="false">B59-A59*(1-C59)</f>
        <v>0.276432932538463</v>
      </c>
    </row>
    <row r="60" customFormat="false" ht="15" hidden="false" customHeight="true" outlineLevel="0" collapsed="false">
      <c r="A60" s="70" t="n">
        <v>0.28</v>
      </c>
      <c r="B60" s="71" t="n">
        <f aca="false">_xlfn.NORM.S.DIST(A60,FALSE())</f>
        <v>0.383606292153479</v>
      </c>
      <c r="C60" s="71" t="n">
        <f aca="false">_xlfn.NORM.S.DIST(A60,TRUE())</f>
        <v>0.610261247555797</v>
      </c>
      <c r="D60" s="71" t="n">
        <f aca="false">B60-A60*(1-C60)</f>
        <v>0.274479441469102</v>
      </c>
    </row>
    <row r="61" customFormat="false" ht="15" hidden="false" customHeight="true" outlineLevel="0" collapsed="false">
      <c r="A61" s="70" t="n">
        <v>0.285</v>
      </c>
      <c r="B61" s="71" t="n">
        <f aca="false">_xlfn.NORM.S.DIST(A61,FALSE())</f>
        <v>0.383064830762944</v>
      </c>
      <c r="C61" s="71" t="n">
        <f aca="false">_xlfn.NORM.S.DIST(A61,TRUE())</f>
        <v>0.612177929037499</v>
      </c>
      <c r="D61" s="71" t="n">
        <f aca="false">B61-A61*(1-C61)</f>
        <v>0.272535540538631</v>
      </c>
    </row>
    <row r="62" customFormat="false" ht="15" hidden="false" customHeight="true" outlineLevel="0" collapsed="false">
      <c r="A62" s="70" t="n">
        <v>0.29</v>
      </c>
      <c r="B62" s="71" t="n">
        <f aca="false">_xlfn.NORM.S.DIST(A62,FALSE())</f>
        <v>0.382514570662924</v>
      </c>
      <c r="C62" s="71" t="n">
        <f aca="false">_xlfn.NORM.S.DIST(A62,TRUE())</f>
        <v>0.614091881198877</v>
      </c>
      <c r="D62" s="71" t="n">
        <f aca="false">B62-A62*(1-C62)</f>
        <v>0.270601216210599</v>
      </c>
    </row>
    <row r="63" customFormat="false" ht="15" hidden="false" customHeight="true" outlineLevel="0" collapsed="false">
      <c r="A63" s="70" t="n">
        <v>0.295</v>
      </c>
      <c r="B63" s="71" t="n">
        <f aca="false">_xlfn.NORM.S.DIST(A63,FALSE())</f>
        <v>0.381955551985378</v>
      </c>
      <c r="C63" s="71" t="n">
        <f aca="false">_xlfn.NORM.S.DIST(A63,TRUE())</f>
        <v>0.616003060146465</v>
      </c>
      <c r="D63" s="71" t="n">
        <f aca="false">B63-A63*(1-C63)</f>
        <v>0.268676454728586</v>
      </c>
    </row>
    <row r="64" customFormat="false" ht="15" hidden="false" customHeight="true" outlineLevel="0" collapsed="false">
      <c r="A64" s="70" t="n">
        <v>0.3</v>
      </c>
      <c r="B64" s="71" t="n">
        <f aca="false">_xlfn.NORM.S.DIST(A64,FALSE())</f>
        <v>0.381387815460524</v>
      </c>
      <c r="C64" s="71" t="n">
        <f aca="false">_xlfn.NORM.S.DIST(A64,TRUE())</f>
        <v>0.617911422188953</v>
      </c>
      <c r="D64" s="71" t="n">
        <f aca="false">B64-A64*(1-C64)</f>
        <v>0.26676124211721</v>
      </c>
    </row>
    <row r="65" customFormat="false" ht="15" hidden="false" customHeight="true" outlineLevel="0" collapsed="false">
      <c r="A65" s="70" t="n">
        <v>0.305</v>
      </c>
      <c r="B65" s="71" t="n">
        <f aca="false">_xlfn.NORM.S.DIST(A65,FALSE())</f>
        <v>0.380811402411894</v>
      </c>
      <c r="C65" s="71" t="n">
        <f aca="false">_xlfn.NORM.S.DIST(A65,TRUE())</f>
        <v>0.619816923840165</v>
      </c>
      <c r="D65" s="71" t="n">
        <f aca="false">B65-A65*(1-C65)</f>
        <v>0.264855564183145</v>
      </c>
    </row>
    <row r="66" customFormat="false" ht="15" hidden="false" customHeight="true" outlineLevel="0" collapsed="false">
      <c r="A66" s="70" t="n">
        <v>0.31</v>
      </c>
      <c r="B66" s="71" t="n">
        <f aca="false">_xlfn.NORM.S.DIST(A66,FALSE())</f>
        <v>0.380226354751325</v>
      </c>
      <c r="C66" s="71" t="n">
        <f aca="false">_xlfn.NORM.S.DIST(A66,TRUE())</f>
        <v>0.621719521822019</v>
      </c>
      <c r="D66" s="71" t="n">
        <f aca="false">B66-A66*(1-C66)</f>
        <v>0.262959406516151</v>
      </c>
    </row>
    <row r="67" customFormat="false" ht="15" hidden="false" customHeight="true" outlineLevel="0" collapsed="false">
      <c r="A67" s="70" t="n">
        <v>0.315</v>
      </c>
      <c r="B67" s="71" t="n">
        <f aca="false">_xlfn.NORM.S.DIST(A67,FALSE())</f>
        <v>0.379632714973878</v>
      </c>
      <c r="C67" s="71" t="n">
        <f aca="false">_xlfn.NORM.S.DIST(A67,TRUE())</f>
        <v>0.623619173067451</v>
      </c>
      <c r="D67" s="71" t="n">
        <f aca="false">B67-A67*(1-C67)</f>
        <v>0.261072754490126</v>
      </c>
    </row>
    <row r="68" customFormat="false" ht="15" hidden="false" customHeight="true" outlineLevel="0" collapsed="false">
      <c r="A68" s="70" t="n">
        <v>0.32</v>
      </c>
      <c r="B68" s="71" t="n">
        <f aca="false">_xlfn.NORM.S.DIST(A68,FALSE())</f>
        <v>0.379030526152702</v>
      </c>
      <c r="C68" s="71" t="n">
        <f aca="false">_xlfn.NORM.S.DIST(A68,TRUE())</f>
        <v>0.62551583472332</v>
      </c>
      <c r="D68" s="71" t="n">
        <f aca="false">B68-A68*(1-C68)</f>
        <v>0.259195593264164</v>
      </c>
    </row>
    <row r="69" customFormat="false" ht="15" hidden="false" customHeight="true" outlineLevel="0" collapsed="false">
      <c r="A69" s="70" t="n">
        <v>0.325</v>
      </c>
      <c r="B69" s="71" t="n">
        <f aca="false">_xlfn.NORM.S.DIST(A69,FALSE())</f>
        <v>0.37841983193382</v>
      </c>
      <c r="C69" s="71" t="n">
        <f aca="false">_xlfn.NORM.S.DIST(A69,TRUE())</f>
        <v>0.627409464153284</v>
      </c>
      <c r="D69" s="71" t="n">
        <f aca="false">B69-A69*(1-C69)</f>
        <v>0.257327907783637</v>
      </c>
    </row>
    <row r="70" customFormat="false" ht="15" hidden="false" customHeight="true" outlineLevel="0" collapsed="false">
      <c r="A70" s="70" t="n">
        <v>0.33</v>
      </c>
      <c r="B70" s="71" t="n">
        <f aca="false">_xlfn.NORM.S.DIST(A70,FALSE())</f>
        <v>0.377800676530865</v>
      </c>
      <c r="C70" s="71" t="n">
        <f aca="false">_xlfn.NORM.S.DIST(A70,TRUE())</f>
        <v>0.629300018940654</v>
      </c>
      <c r="D70" s="71" t="n">
        <f aca="false">B70-A70*(1-C70)</f>
        <v>0.25546968278128</v>
      </c>
    </row>
    <row r="71" customFormat="false" ht="15" hidden="false" customHeight="true" outlineLevel="0" collapsed="false">
      <c r="A71" s="70" t="n">
        <v>0.335</v>
      </c>
      <c r="B71" s="71" t="n">
        <f aca="false">_xlfn.NORM.S.DIST(A71,FALSE())</f>
        <v>0.377173104719746</v>
      </c>
      <c r="C71" s="71" t="n">
        <f aca="false">_xlfn.NORM.S.DIST(A71,TRUE())</f>
        <v>0.631187456891215</v>
      </c>
      <c r="D71" s="71" t="n">
        <f aca="false">B71-A71*(1-C71)</f>
        <v>0.253620902778303</v>
      </c>
    </row>
    <row r="72" customFormat="false" ht="15" hidden="false" customHeight="true" outlineLevel="0" collapsed="false">
      <c r="A72" s="70" t="n">
        <v>0.34</v>
      </c>
      <c r="B72" s="71" t="n">
        <f aca="false">_xlfn.NORM.S.DIST(A72,FALSE())</f>
        <v>0.376537161833254</v>
      </c>
      <c r="C72" s="71" t="n">
        <f aca="false">_xlfn.NORM.S.DIST(A72,TRUE())</f>
        <v>0.633071736036028</v>
      </c>
      <c r="D72" s="71" t="n">
        <f aca="false">B72-A72*(1-C72)</f>
        <v>0.251781552085504</v>
      </c>
    </row>
    <row r="73" customFormat="false" ht="15" hidden="false" customHeight="true" outlineLevel="0" collapsed="false">
      <c r="A73" s="70" t="n">
        <v>0.345</v>
      </c>
      <c r="B73" s="71" t="n">
        <f aca="false">_xlfn.NORM.S.DIST(A73,FALSE())</f>
        <v>0.375892893755607</v>
      </c>
      <c r="C73" s="71" t="n">
        <f aca="false">_xlfn.NORM.S.DIST(A73,TRUE())</f>
        <v>0.634952814634198</v>
      </c>
      <c r="D73" s="71" t="n">
        <f aca="false">B73-A73*(1-C73)</f>
        <v>0.249951614804406</v>
      </c>
    </row>
    <row r="74" customFormat="false" ht="15" hidden="false" customHeight="true" outlineLevel="0" collapsed="false">
      <c r="A74" s="70" t="n">
        <v>0.35</v>
      </c>
      <c r="B74" s="71" t="n">
        <f aca="false">_xlfn.NORM.S.DIST(A74,FALSE())</f>
        <v>0.375240346916938</v>
      </c>
      <c r="C74" s="71" t="n">
        <f aca="false">_xlfn.NORM.S.DIST(A74,TRUE())</f>
        <v>0.636830651175619</v>
      </c>
      <c r="D74" s="71" t="n">
        <f aca="false">B74-A74*(1-C74)</f>
        <v>0.248131074828405</v>
      </c>
    </row>
    <row r="75" customFormat="false" ht="15" hidden="false" customHeight="true" outlineLevel="0" collapsed="false">
      <c r="A75" s="70" t="n">
        <v>0.355</v>
      </c>
      <c r="B75" s="71" t="n">
        <f aca="false">_xlfn.NORM.S.DIST(A75,FALSE())</f>
        <v>0.374579568287718</v>
      </c>
      <c r="C75" s="71" t="n">
        <f aca="false">_xlfn.NORM.S.DIST(A75,TRUE())</f>
        <v>0.638705204383687</v>
      </c>
      <c r="D75" s="71" t="n">
        <f aca="false">B75-A75*(1-C75)</f>
        <v>0.246319915843927</v>
      </c>
    </row>
    <row r="76" customFormat="false" ht="15" hidden="false" customHeight="true" outlineLevel="0" collapsed="false">
      <c r="A76" s="70" t="n">
        <v>0.36</v>
      </c>
      <c r="B76" s="71" t="n">
        <f aca="false">_xlfn.NORM.S.DIST(A76,FALSE())</f>
        <v>0.373910605373128</v>
      </c>
      <c r="C76" s="71" t="n">
        <f aca="false">_xlfn.NORM.S.DIST(A76,TRUE())</f>
        <v>0.640576433217991</v>
      </c>
      <c r="D76" s="71" t="n">
        <f aca="false">B76-A76*(1-C76)</f>
        <v>0.244518121331605</v>
      </c>
    </row>
    <row r="77" customFormat="false" ht="15" hidden="false" customHeight="true" outlineLevel="0" collapsed="false">
      <c r="A77" s="70" t="n">
        <v>0.365</v>
      </c>
      <c r="B77" s="71" t="n">
        <f aca="false">_xlfn.NORM.S.DIST(A77,FALSE())</f>
        <v>0.373233506207373</v>
      </c>
      <c r="C77" s="71" t="n">
        <f aca="false">_xlfn.NORM.S.DIST(A77,TRUE())</f>
        <v>0.642444296876971</v>
      </c>
      <c r="D77" s="71" t="n">
        <f aca="false">B77-A77*(1-C77)</f>
        <v>0.242725674567468</v>
      </c>
    </row>
    <row r="78" customFormat="false" ht="15" hidden="false" customHeight="true" outlineLevel="0" collapsed="false">
      <c r="A78" s="70" t="n">
        <v>0.37</v>
      </c>
      <c r="B78" s="71" t="n">
        <f aca="false">_xlfn.NORM.S.DIST(A78,FALSE())</f>
        <v>0.372548319347933</v>
      </c>
      <c r="C78" s="71" t="n">
        <f aca="false">_xlfn.NORM.S.DIST(A78,TRUE())</f>
        <v>0.644308754800547</v>
      </c>
      <c r="D78" s="71" t="n">
        <f aca="false">B78-A78*(1-C78)</f>
        <v>0.240942558624136</v>
      </c>
    </row>
    <row r="79" customFormat="false" ht="15" hidden="false" customHeight="true" outlineLevel="0" collapsed="false">
      <c r="A79" s="70" t="n">
        <v>0.375</v>
      </c>
      <c r="B79" s="71" t="n">
        <f aca="false">_xlfn.NORM.S.DIST(A79,FALSE())</f>
        <v>0.371855093869769</v>
      </c>
      <c r="C79" s="71" t="n">
        <f aca="false">_xlfn.NORM.S.DIST(A79,TRUE())</f>
        <v>0.646169766672724</v>
      </c>
      <c r="D79" s="71" t="n">
        <f aca="false">B79-A79*(1-C79)</f>
        <v>0.23916875637204</v>
      </c>
    </row>
    <row r="80" customFormat="false" ht="15" hidden="false" customHeight="true" outlineLevel="0" collapsed="false">
      <c r="A80" s="70" t="n">
        <v>0.38</v>
      </c>
      <c r="B80" s="71" t="n">
        <f aca="false">_xlfn.NORM.S.DIST(A80,FALSE())</f>
        <v>0.371153879359466</v>
      </c>
      <c r="C80" s="71" t="n">
        <f aca="false">_xlfn.NORM.S.DIST(A80,TRUE())</f>
        <v>0.648027292424163</v>
      </c>
      <c r="D80" s="71" t="n">
        <f aca="false">B80-A80*(1-C80)</f>
        <v>0.237404250480648</v>
      </c>
    </row>
    <row r="81" customFormat="false" ht="15" hidden="false" customHeight="true" outlineLevel="0" collapsed="false">
      <c r="A81" s="70" t="n">
        <v>0.385</v>
      </c>
      <c r="B81" s="71" t="n">
        <f aca="false">_xlfn.NORM.S.DIST(A81,FALSE())</f>
        <v>0.370444725909331</v>
      </c>
      <c r="C81" s="71" t="n">
        <f aca="false">_xlfn.NORM.S.DIST(A81,TRUE())</f>
        <v>0.649881292234724</v>
      </c>
      <c r="D81" s="71" t="n">
        <f aca="false">B81-A81*(1-C81)</f>
        <v>0.2356490234197</v>
      </c>
    </row>
    <row r="82" customFormat="false" ht="15" hidden="false" customHeight="true" outlineLevel="0" collapsed="false">
      <c r="A82" s="70" t="n">
        <v>0.39</v>
      </c>
      <c r="B82" s="71" t="n">
        <f aca="false">_xlfn.NORM.S.DIST(A82,FALSE())</f>
        <v>0.369727684111432</v>
      </c>
      <c r="C82" s="71" t="n">
        <f aca="false">_xlfn.NORM.S.DIST(A82,TRUE())</f>
        <v>0.651731726535982</v>
      </c>
      <c r="D82" s="71" t="n">
        <f aca="false">B82-A82*(1-C82)</f>
        <v>0.233903057460466</v>
      </c>
    </row>
    <row r="83" customFormat="false" ht="15" hidden="false" customHeight="true" outlineLevel="0" collapsed="false">
      <c r="A83" s="70" t="n">
        <v>0.395</v>
      </c>
      <c r="B83" s="71" t="n">
        <f aca="false">_xlfn.NORM.S.DIST(A83,FALSE())</f>
        <v>0.369002805051591</v>
      </c>
      <c r="C83" s="71" t="n">
        <f aca="false">_xlfn.NORM.S.DIST(A83,TRUE())</f>
        <v>0.653578556013708</v>
      </c>
      <c r="D83" s="71" t="n">
        <f aca="false">B83-A83*(1-C83)</f>
        <v>0.232166334677006</v>
      </c>
    </row>
    <row r="84" customFormat="false" ht="15" hidden="false" customHeight="true" outlineLevel="0" collapsed="false">
      <c r="A84" s="70" t="n">
        <v>0.4</v>
      </c>
      <c r="B84" s="71" t="n">
        <f aca="false">_xlfn.NORM.S.DIST(A84,FALSE())</f>
        <v>0.368270140303323</v>
      </c>
      <c r="C84" s="71" t="n">
        <f aca="false">_xlfn.NORM.S.DIST(A84,TRUE())</f>
        <v>0.655421741610324</v>
      </c>
      <c r="D84" s="71" t="n">
        <f aca="false">B84-A84*(1-C84)</f>
        <v>0.230438836947453</v>
      </c>
    </row>
    <row r="85" customFormat="false" ht="15" hidden="false" customHeight="true" outlineLevel="0" collapsed="false">
      <c r="A85" s="70" t="n">
        <v>0.405</v>
      </c>
      <c r="B85" s="71" t="n">
        <f aca="false">_xlfn.NORM.S.DIST(A85,FALSE())</f>
        <v>0.367529741921728</v>
      </c>
      <c r="C85" s="71" t="n">
        <f aca="false">_xlfn.NORM.S.DIST(A85,TRUE())</f>
        <v>0.657261244527326</v>
      </c>
      <c r="D85" s="71" t="n">
        <f aca="false">B85-A85*(1-C85)</f>
        <v>0.228720545955296</v>
      </c>
    </row>
    <row r="86" customFormat="false" ht="15" hidden="false" customHeight="true" outlineLevel="0" collapsed="false">
      <c r="A86" s="70" t="n">
        <v>0.41</v>
      </c>
      <c r="B86" s="71" t="n">
        <f aca="false">_xlfn.NORM.S.DIST(A86,FALSE())</f>
        <v>0.366781662437336</v>
      </c>
      <c r="C86" s="71" t="n">
        <f aca="false">_xlfn.NORM.S.DIST(A86,TRUE())</f>
        <v>0.659097026227677</v>
      </c>
      <c r="D86" s="71" t="n">
        <f aca="false">B86-A86*(1-C86)</f>
        <v>0.227011443190684</v>
      </c>
    </row>
    <row r="87" customFormat="false" ht="15" hidden="false" customHeight="true" outlineLevel="0" collapsed="false">
      <c r="A87" s="70" t="n">
        <v>0.415</v>
      </c>
      <c r="B87" s="71" t="n">
        <f aca="false">_xlfn.NORM.S.DIST(A87,FALSE())</f>
        <v>0.366025954849901</v>
      </c>
      <c r="C87" s="71" t="n">
        <f aca="false">_xlfn.NORM.S.DIST(A87,TRUE())</f>
        <v>0.660929048438169</v>
      </c>
      <c r="D87" s="71" t="n">
        <f aca="false">B87-A87*(1-C87)</f>
        <v>0.225311509951741</v>
      </c>
    </row>
    <row r="88" customFormat="false" ht="15" hidden="false" customHeight="true" outlineLevel="0" collapsed="false">
      <c r="A88" s="70" t="n">
        <v>0.42</v>
      </c>
      <c r="B88" s="71" t="n">
        <f aca="false">_xlfn.NORM.S.DIST(A88,FALSE())</f>
        <v>0.365262672622154</v>
      </c>
      <c r="C88" s="71" t="n">
        <f aca="false">_xlfn.NORM.S.DIST(A88,TRUE())</f>
        <v>0.662757273151751</v>
      </c>
      <c r="D88" s="71" t="n">
        <f aca="false">B88-A88*(1-C88)</f>
        <v>0.223620727345889</v>
      </c>
    </row>
    <row r="89" customFormat="false" ht="15" hidden="false" customHeight="true" outlineLevel="0" collapsed="false">
      <c r="A89" s="70" t="n">
        <v>0.425</v>
      </c>
      <c r="B89" s="71" t="n">
        <f aca="false">_xlfn.NORM.S.DIST(A89,FALSE())</f>
        <v>0.364491869673507</v>
      </c>
      <c r="C89" s="71" t="n">
        <f aca="false">_xlfn.NORM.S.DIST(A89,TRUE())</f>
        <v>0.664581662629831</v>
      </c>
      <c r="D89" s="71" t="n">
        <f aca="false">B89-A89*(1-C89)</f>
        <v>0.221939076291184</v>
      </c>
    </row>
    <row r="90" customFormat="false" ht="15" hidden="false" customHeight="true" outlineLevel="0" collapsed="false">
      <c r="A90" s="70" t="n">
        <v>0.43</v>
      </c>
      <c r="B90" s="71" t="n">
        <f aca="false">_xlfn.NORM.S.DIST(A90,FALSE())</f>
        <v>0.363713600373713</v>
      </c>
      <c r="C90" s="71" t="n">
        <f aca="false">_xlfn.NORM.S.DIST(A90,TRUE())</f>
        <v>0.666402179404542</v>
      </c>
      <c r="D90" s="71" t="n">
        <f aca="false">B90-A90*(1-C90)</f>
        <v>0.220266537517667</v>
      </c>
    </row>
    <row r="91" customFormat="false" ht="15" hidden="false" customHeight="true" outlineLevel="0" collapsed="false">
      <c r="A91" s="70" t="n">
        <v>0.435</v>
      </c>
      <c r="B91" s="71" t="n">
        <f aca="false">_xlfn.NORM.S.DIST(A91,FALSE())</f>
        <v>0.362927919536491</v>
      </c>
      <c r="C91" s="71" t="n">
        <f aca="false">_xlfn.NORM.S.DIST(A91,TRUE())</f>
        <v>0.668218786280981</v>
      </c>
      <c r="D91" s="71" t="n">
        <f aca="false">B91-A91*(1-C91)</f>
        <v>0.218603091568718</v>
      </c>
    </row>
    <row r="92" customFormat="false" ht="15" hidden="false" customHeight="true" outlineLevel="0" collapsed="false">
      <c r="A92" s="70" t="n">
        <v>0.44</v>
      </c>
      <c r="B92" s="71" t="n">
        <f aca="false">_xlfn.NORM.S.DIST(A92,FALSE())</f>
        <v>0.362134882413092</v>
      </c>
      <c r="C92" s="71" t="n">
        <f aca="false">_xlfn.NORM.S.DIST(A92,TRUE())</f>
        <v>0.670031446339406</v>
      </c>
      <c r="D92" s="71" t="n">
        <f aca="false">B92-A92*(1-C92)</f>
        <v>0.216948718802431</v>
      </c>
    </row>
    <row r="93" customFormat="false" ht="15" hidden="false" customHeight="true" outlineLevel="0" collapsed="false">
      <c r="A93" s="70" t="n">
        <v>0.445</v>
      </c>
      <c r="B93" s="71" t="n">
        <f aca="false">_xlfn.NORM.S.DIST(A93,FALSE())</f>
        <v>0.361334544685846</v>
      </c>
      <c r="C93" s="71" t="n">
        <f aca="false">_xlfn.NORM.S.DIST(A93,TRUE())</f>
        <v>0.671840122937415</v>
      </c>
      <c r="D93" s="71" t="n">
        <f aca="false">B93-A93*(1-C93)</f>
        <v>0.215303399392995</v>
      </c>
    </row>
    <row r="94" customFormat="false" ht="15" hidden="false" customHeight="true" outlineLevel="0" collapsed="false">
      <c r="A94" s="70" t="n">
        <v>0.45</v>
      </c>
      <c r="B94" s="71" t="n">
        <f aca="false">_xlfn.NORM.S.DIST(A94,FALSE())</f>
        <v>0.360526962461648</v>
      </c>
      <c r="C94" s="71" t="n">
        <f aca="false">_xlfn.NORM.S.DIST(A94,TRUE())</f>
        <v>0.67364477971208</v>
      </c>
      <c r="D94" s="71" t="n">
        <f aca="false">B94-A94*(1-C94)</f>
        <v>0.213667113332084</v>
      </c>
    </row>
    <row r="95" customFormat="false" ht="15" hidden="false" customHeight="true" outlineLevel="0" collapsed="false">
      <c r="A95" s="70" t="n">
        <v>0.455</v>
      </c>
      <c r="B95" s="71" t="n">
        <f aca="false">_xlfn.NORM.S.DIST(A95,FALSE())</f>
        <v>0.359712192265424</v>
      </c>
      <c r="C95" s="71" t="n">
        <f aca="false">_xlfn.NORM.S.DIST(A95,TRUE())</f>
        <v>0.675445380582056</v>
      </c>
      <c r="D95" s="71" t="n">
        <f aca="false">B95-A95*(1-C95)</f>
        <v>0.212039840430259</v>
      </c>
    </row>
    <row r="96" customFormat="false" ht="15" hidden="false" customHeight="true" outlineLevel="0" collapsed="false">
      <c r="A96" s="70" t="n">
        <v>0.46</v>
      </c>
      <c r="B96" s="71" t="n">
        <f aca="false">_xlfn.NORM.S.DIST(A96,FALSE())</f>
        <v>0.358890291033545</v>
      </c>
      <c r="C96" s="71" t="n">
        <f aca="false">_xlfn.NORM.S.DIST(A96,TRUE())</f>
        <v>0.677241889749652</v>
      </c>
      <c r="D96" s="71" t="n">
        <f aca="false">B96-A96*(1-C96)</f>
        <v>0.210421560318385</v>
      </c>
    </row>
    <row r="97" customFormat="false" ht="15" hidden="false" customHeight="true" outlineLevel="0" collapsed="false">
      <c r="A97" s="70" t="n">
        <v>0.465</v>
      </c>
      <c r="B97" s="71" t="n">
        <f aca="false">_xlfn.NORM.S.DIST(A97,FALSE())</f>
        <v>0.358061316107211</v>
      </c>
      <c r="C97" s="71" t="n">
        <f aca="false">_xlfn.NORM.S.DIST(A97,TRUE())</f>
        <v>0.679034271702878</v>
      </c>
      <c r="D97" s="71" t="n">
        <f aca="false">B97-A97*(1-C97)</f>
        <v>0.208812252449049</v>
      </c>
    </row>
    <row r="98" customFormat="false" ht="15" hidden="false" customHeight="true" outlineLevel="0" collapsed="false">
      <c r="A98" s="70" t="n">
        <v>0.47</v>
      </c>
      <c r="B98" s="71" t="n">
        <f aca="false">_xlfn.NORM.S.DIST(A98,FALSE())</f>
        <v>0.357225325225801</v>
      </c>
      <c r="C98" s="71" t="n">
        <f aca="false">_xlfn.NORM.S.DIST(A98,TRUE())</f>
        <v>0.680822491217444</v>
      </c>
      <c r="D98" s="71" t="n">
        <f aca="false">B98-A98*(1-C98)</f>
        <v>0.207211896098</v>
      </c>
    </row>
    <row r="99" customFormat="false" ht="15" hidden="false" customHeight="true" outlineLevel="0" collapsed="false">
      <c r="A99" s="70" t="n">
        <v>0.475</v>
      </c>
      <c r="B99" s="71" t="n">
        <f aca="false">_xlfn.NORM.S.DIST(A99,FALSE())</f>
        <v>0.356382376520183</v>
      </c>
      <c r="C99" s="71" t="n">
        <f aca="false">_xlfn.NORM.S.DIST(A99,TRUE())</f>
        <v>0.682606513358741</v>
      </c>
      <c r="D99" s="71" t="n">
        <f aca="false">B99-A99*(1-C99)</f>
        <v>0.205620470365585</v>
      </c>
    </row>
    <row r="100" customFormat="false" ht="15" hidden="false" customHeight="true" outlineLevel="0" collapsed="false">
      <c r="A100" s="70" t="n">
        <v>0.48</v>
      </c>
      <c r="B100" s="71" t="n">
        <f aca="false">_xlfn.NORM.S.DIST(A100,FALSE())</f>
        <v>0.355532528505997</v>
      </c>
      <c r="C100" s="71" t="n">
        <f aca="false">_xlfn.NORM.S.DIST(A100,TRUE())</f>
        <v>0.684386303483777</v>
      </c>
      <c r="D100" s="71" t="n">
        <f aca="false">B100-A100*(1-C100)</f>
        <v>0.20403795417821</v>
      </c>
    </row>
    <row r="101" customFormat="false" ht="15" hidden="false" customHeight="true" outlineLevel="0" collapsed="false">
      <c r="A101" s="70" t="n">
        <v>0.485</v>
      </c>
      <c r="B101" s="71" t="n">
        <f aca="false">_xlfn.NORM.S.DIST(A101,FALSE())</f>
        <v>0.354675840076899</v>
      </c>
      <c r="C101" s="71" t="n">
        <f aca="false">_xlfn.NORM.S.DIST(A101,TRUE())</f>
        <v>0.686161827243089</v>
      </c>
      <c r="D101" s="71" t="n">
        <f aca="false">B101-A101*(1-C101)</f>
        <v>0.202464326289797</v>
      </c>
    </row>
    <row r="102" customFormat="false" ht="15" hidden="false" customHeight="true" outlineLevel="0" collapsed="false">
      <c r="A102" s="70" t="n">
        <v>0.49</v>
      </c>
      <c r="B102" s="71" t="n">
        <f aca="false">_xlfn.NORM.S.DIST(A102,FALSE())</f>
        <v>0.35381237049778</v>
      </c>
      <c r="C102" s="71" t="n">
        <f aca="false">_xlfn.NORM.S.DIST(A102,TRUE())</f>
        <v>0.68793305058261</v>
      </c>
      <c r="D102" s="71" t="n">
        <f aca="false">B102-A102*(1-C102)</f>
        <v>0.200899565283258</v>
      </c>
    </row>
    <row r="103" customFormat="false" ht="15" hidden="false" customHeight="true" outlineLevel="0" collapsed="false">
      <c r="A103" s="70" t="n">
        <v>0.495</v>
      </c>
      <c r="B103" s="71" t="n">
        <f aca="false">_xlfn.NORM.S.DIST(A103,FALSE())</f>
        <v>0.35294217939795</v>
      </c>
      <c r="C103" s="71" t="n">
        <f aca="false">_xlfn.NORM.S.DIST(A103,TRUE())</f>
        <v>0.689699939745512</v>
      </c>
      <c r="D103" s="71" t="n">
        <f aca="false">B103-A103*(1-C103)</f>
        <v>0.199343649571979</v>
      </c>
    </row>
    <row r="104" customFormat="false" ht="15" hidden="false" customHeight="true" outlineLevel="0" collapsed="false">
      <c r="A104" s="70" t="n">
        <v>0.5</v>
      </c>
      <c r="B104" s="71" t="n">
        <f aca="false">_xlfn.NORM.S.DIST(A104,FALSE())</f>
        <v>0.3520653267643</v>
      </c>
      <c r="C104" s="71" t="n">
        <f aca="false">_xlfn.NORM.S.DIST(A104,TRUE())</f>
        <v>0.691462461274013</v>
      </c>
      <c r="D104" s="71" t="n">
        <f aca="false">B104-A104*(1-C104)</f>
        <v>0.197796557401306</v>
      </c>
    </row>
    <row r="105" customFormat="false" ht="15" hidden="false" customHeight="true" outlineLevel="0" collapsed="false">
      <c r="A105" s="70" t="n">
        <v>0.505</v>
      </c>
      <c r="B105" s="71" t="n">
        <f aca="false">_xlfn.NORM.S.DIST(A105,FALSE())</f>
        <v>0.351181872934423</v>
      </c>
      <c r="C105" s="71" t="n">
        <f aca="false">_xlfn.NORM.S.DIST(A105,TRUE())</f>
        <v>0.693220582011142</v>
      </c>
      <c r="D105" s="71" t="n">
        <f aca="false">B105-A105*(1-C105)</f>
        <v>0.19625826685005</v>
      </c>
    </row>
    <row r="106" customFormat="false" ht="15" hidden="false" customHeight="true" outlineLevel="0" collapsed="false">
      <c r="A106" s="70" t="n">
        <v>0.51</v>
      </c>
      <c r="B106" s="71" t="n">
        <f aca="false">_xlfn.NORM.S.DIST(A106,FALSE())</f>
        <v>0.350291878589726</v>
      </c>
      <c r="C106" s="71" t="n">
        <f aca="false">_xlfn.NORM.S.DIST(A106,TRUE())</f>
        <v>0.694974269102481</v>
      </c>
      <c r="D106" s="71" t="n">
        <f aca="false">B106-A106*(1-C106)</f>
        <v>0.194728755831991</v>
      </c>
    </row>
    <row r="107" customFormat="false" ht="15" hidden="false" customHeight="true" outlineLevel="0" collapsed="false">
      <c r="A107" s="70" t="n">
        <v>0.515</v>
      </c>
      <c r="B107" s="71" t="n">
        <f aca="false">_xlfn.NORM.S.DIST(A107,FALSE())</f>
        <v>0.3493954047485</v>
      </c>
      <c r="C107" s="71" t="n">
        <f aca="false">_xlfn.NORM.S.DIST(A107,TRUE())</f>
        <v>0.696723489997861</v>
      </c>
      <c r="D107" s="71" t="n">
        <f aca="false">B107-A107*(1-C107)</f>
        <v>0.193208002097398</v>
      </c>
    </row>
    <row r="108" customFormat="false" ht="15" hidden="false" customHeight="true" outlineLevel="0" collapsed="false">
      <c r="A108" s="70" t="n">
        <v>0.52</v>
      </c>
      <c r="B108" s="71" t="n">
        <f aca="false">_xlfn.NORM.S.DIST(A108,FALSE())</f>
        <v>0.348492512758975</v>
      </c>
      <c r="C108" s="71" t="n">
        <f aca="false">_xlfn.NORM.S.DIST(A108,TRUE())</f>
        <v>0.698468212453034</v>
      </c>
      <c r="D108" s="71" t="n">
        <f aca="false">B108-A108*(1-C108)</f>
        <v>0.191695983234552</v>
      </c>
    </row>
    <row r="109" customFormat="false" ht="15" hidden="false" customHeight="true" outlineLevel="0" collapsed="false">
      <c r="A109" s="70" t="n">
        <v>0.525</v>
      </c>
      <c r="B109" s="71" t="n">
        <f aca="false">_xlfn.NORM.S.DIST(A109,FALSE())</f>
        <v>0.347583264292348</v>
      </c>
      <c r="C109" s="71" t="n">
        <f aca="false">_xlfn.NORM.S.DIST(A109,TRUE())</f>
        <v>0.700208404531304</v>
      </c>
      <c r="D109" s="71" t="n">
        <f aca="false">B109-A109*(1-C109)</f>
        <v>0.190192676671283</v>
      </c>
    </row>
    <row r="110" customFormat="false" ht="15" hidden="false" customHeight="true" outlineLevel="0" collapsed="false">
      <c r="A110" s="70" t="n">
        <v>0.53</v>
      </c>
      <c r="B110" s="71" t="n">
        <f aca="false">_xlfn.NORM.S.DIST(A110,FALSE())</f>
        <v>0.346667721335792</v>
      </c>
      <c r="C110" s="71" t="n">
        <f aca="false">_xlfn.NORM.S.DIST(A110,TRUE())</f>
        <v>0.701944034605124</v>
      </c>
      <c r="D110" s="71" t="n">
        <f aca="false">B110-A110*(1-C110)</f>
        <v>0.188698059676507</v>
      </c>
    </row>
    <row r="111" customFormat="false" ht="15" hidden="false" customHeight="true" outlineLevel="0" collapsed="false">
      <c r="A111" s="70" t="n">
        <v>0.535</v>
      </c>
      <c r="B111" s="71" t="n">
        <f aca="false">_xlfn.NORM.S.DIST(A111,FALSE())</f>
        <v>0.345745946185435</v>
      </c>
      <c r="C111" s="71" t="n">
        <f aca="false">_xlfn.NORM.S.DIST(A111,TRUE())</f>
        <v>0.703675071357656</v>
      </c>
      <c r="D111" s="71" t="n">
        <f aca="false">B111-A111*(1-C111)</f>
        <v>0.187212109361781</v>
      </c>
    </row>
    <row r="112" customFormat="false" ht="15" hidden="false" customHeight="true" outlineLevel="0" collapsed="false">
      <c r="A112" s="70" t="n">
        <v>0.54</v>
      </c>
      <c r="B112" s="71" t="n">
        <f aca="false">_xlfn.NORM.S.DIST(A112,FALSE())</f>
        <v>0.344818001439333</v>
      </c>
      <c r="C112" s="71" t="n">
        <f aca="false">_xlfn.NORM.S.DIST(A112,TRUE())</f>
        <v>0.705401483784302</v>
      </c>
      <c r="D112" s="71" t="n">
        <f aca="false">B112-A112*(1-C112)</f>
        <v>0.185734802682856</v>
      </c>
    </row>
    <row r="113" customFormat="false" ht="15" hidden="false" customHeight="true" outlineLevel="0" collapsed="false">
      <c r="A113" s="70" t="n">
        <v>0.545</v>
      </c>
      <c r="B113" s="71" t="n">
        <f aca="false">_xlfn.NORM.S.DIST(A113,FALSE())</f>
        <v>0.343883949990409</v>
      </c>
      <c r="C113" s="71" t="n">
        <f aca="false">_xlfn.NORM.S.DIST(A113,TRUE())</f>
        <v>0.707123241194195</v>
      </c>
      <c r="D113" s="71" t="n">
        <f aca="false">B113-A113*(1-C113)</f>
        <v>0.184266116441245</v>
      </c>
    </row>
    <row r="114" customFormat="false" ht="15" hidden="false" customHeight="true" outlineLevel="0" collapsed="false">
      <c r="A114" s="70" t="n">
        <v>0.55</v>
      </c>
      <c r="B114" s="71" t="n">
        <f aca="false">_xlfn.NORM.S.DIST(A114,FALSE())</f>
        <v>0.342943855019384</v>
      </c>
      <c r="C114" s="71" t="n">
        <f aca="false">_xlfn.NORM.S.DIST(A114,TRUE())</f>
        <v>0.708840313211654</v>
      </c>
      <c r="D114" s="71" t="n">
        <f aca="false">B114-A114*(1-C114)</f>
        <v>0.182806027285793</v>
      </c>
    </row>
    <row r="115" customFormat="false" ht="15" hidden="false" customHeight="true" outlineLevel="0" collapsed="false">
      <c r="A115" s="70" t="n">
        <v>0.555</v>
      </c>
      <c r="B115" s="71" t="n">
        <f aca="false">_xlfn.NORM.S.DIST(A115,FALSE())</f>
        <v>0.341997779987687</v>
      </c>
      <c r="C115" s="71" t="n">
        <f aca="false">_xlfn.NORM.S.DIST(A115,TRUE())</f>
        <v>0.710552669777606</v>
      </c>
      <c r="D115" s="71" t="n">
        <f aca="false">B115-A115*(1-C115)</f>
        <v>0.181354511714258</v>
      </c>
    </row>
    <row r="116" customFormat="false" ht="15" hidden="false" customHeight="true" outlineLevel="0" collapsed="false">
      <c r="A116" s="70" t="n">
        <v>0.56</v>
      </c>
      <c r="B116" s="71" t="n">
        <f aca="false">_xlfn.NORM.S.DIST(A116,FALSE())</f>
        <v>0.341045788630353</v>
      </c>
      <c r="C116" s="71" t="n">
        <f aca="false">_xlfn.NORM.S.DIST(A116,TRUE())</f>
        <v>0.712260281150973</v>
      </c>
      <c r="D116" s="71" t="n">
        <f aca="false">B116-A116*(1-C116)</f>
        <v>0.179911546074897</v>
      </c>
    </row>
    <row r="117" customFormat="false" ht="15" hidden="false" customHeight="true" outlineLevel="0" collapsed="false">
      <c r="A117" s="70" t="n">
        <v>0.565</v>
      </c>
      <c r="B117" s="71" t="n">
        <f aca="false">_xlfn.NORM.S.DIST(A117,FALSE())</f>
        <v>0.340087944948898</v>
      </c>
      <c r="C117" s="71" t="n">
        <f aca="false">_xlfn.NORM.S.DIST(A117,TRUE())</f>
        <v>0.713963117910021</v>
      </c>
      <c r="D117" s="71" t="n">
        <f aca="false">B117-A117*(1-C117)</f>
        <v>0.17847710656806</v>
      </c>
    </row>
    <row r="118" customFormat="false" ht="15" hidden="false" customHeight="true" outlineLevel="0" collapsed="false">
      <c r="A118" s="70" t="n">
        <v>0.57</v>
      </c>
      <c r="B118" s="71" t="n">
        <f aca="false">_xlfn.NORM.S.DIST(A118,FALSE())</f>
        <v>0.339124313204192</v>
      </c>
      <c r="C118" s="71" t="n">
        <f aca="false">_xlfn.NORM.S.DIST(A118,TRUE())</f>
        <v>0.715661150953676</v>
      </c>
      <c r="D118" s="71" t="n">
        <f aca="false">B118-A118*(1-C118)</f>
        <v>0.177051169247788</v>
      </c>
    </row>
    <row r="119" customFormat="false" ht="15" hidden="false" customHeight="true" outlineLevel="0" collapsed="false">
      <c r="A119" s="70" t="n">
        <v>0.575</v>
      </c>
      <c r="B119" s="71" t="n">
        <f aca="false">_xlfn.NORM.S.DIST(A119,FALSE())</f>
        <v>0.338154957909311</v>
      </c>
      <c r="C119" s="71" t="n">
        <f aca="false">_xlfn.NORM.S.DIST(A119,TRUE())</f>
        <v>0.717354351502799</v>
      </c>
      <c r="D119" s="71" t="n">
        <f aca="false">B119-A119*(1-C119)</f>
        <v>0.175633710023421</v>
      </c>
    </row>
    <row r="120" customFormat="false" ht="15" hidden="false" customHeight="true" outlineLevel="0" collapsed="false">
      <c r="A120" s="70" t="n">
        <v>0.58</v>
      </c>
      <c r="B120" s="71" t="n">
        <f aca="false">_xlfn.NORM.S.DIST(A120,FALSE())</f>
        <v>0.337179943822381</v>
      </c>
      <c r="C120" s="71" t="n">
        <f aca="false">_xlfn.NORM.S.DIST(A120,TRUE())</f>
        <v>0.719042691101436</v>
      </c>
      <c r="D120" s="71" t="n">
        <f aca="false">B120-A120*(1-C120)</f>
        <v>0.174224704661213</v>
      </c>
    </row>
    <row r="121" customFormat="false" ht="15" hidden="false" customHeight="true" outlineLevel="0" collapsed="false">
      <c r="A121" s="70" t="n">
        <v>0.585</v>
      </c>
      <c r="B121" s="71" t="n">
        <f aca="false">_xlfn.NORM.S.DIST(A121,FALSE())</f>
        <v>0.336199335939407</v>
      </c>
      <c r="C121" s="71" t="n">
        <f aca="false">_xlfn.NORM.S.DIST(A121,TRUE())</f>
        <v>0.720726141618017</v>
      </c>
      <c r="D121" s="71" t="n">
        <f aca="false">B121-A121*(1-C121)</f>
        <v>0.172824128785947</v>
      </c>
    </row>
    <row r="122" customFormat="false" ht="15" hidden="false" customHeight="true" outlineLevel="0" collapsed="false">
      <c r="A122" s="70" t="n">
        <v>0.59</v>
      </c>
      <c r="B122" s="71" t="n">
        <f aca="false">_xlfn.NORM.S.DIST(A122,FALSE())</f>
        <v>0.335213199487106</v>
      </c>
      <c r="C122" s="71" t="n">
        <f aca="false">_xlfn.NORM.S.DIST(A122,TRUE())</f>
        <v>0.722404675246535</v>
      </c>
      <c r="D122" s="71" t="n">
        <f aca="false">B122-A122*(1-C122)</f>
        <v>0.171431957882562</v>
      </c>
    </row>
    <row r="123" customFormat="false" ht="15" hidden="false" customHeight="true" outlineLevel="0" collapsed="false">
      <c r="A123" s="70" t="n">
        <v>0.595</v>
      </c>
      <c r="B123" s="71" t="n">
        <f aca="false">_xlfn.NORM.S.DIST(A123,FALSE())</f>
        <v>0.334221599915714</v>
      </c>
      <c r="C123" s="71" t="n">
        <f aca="false">_xlfn.NORM.S.DIST(A123,TRUE())</f>
        <v>0.724078264507678</v>
      </c>
      <c r="D123" s="71" t="n">
        <f aca="false">B123-A123*(1-C123)</f>
        <v>0.170048167297782</v>
      </c>
    </row>
    <row r="124" customFormat="false" ht="15" hidden="false" customHeight="true" outlineLevel="0" collapsed="false">
      <c r="A124" s="70" t="n">
        <v>0.6</v>
      </c>
      <c r="B124" s="71" t="n">
        <f aca="false">_xlfn.NORM.S.DIST(A124,FALSE())</f>
        <v>0.3332246028918</v>
      </c>
      <c r="C124" s="71" t="n">
        <f aca="false">_xlfn.NORM.S.DIST(A124,TRUE())</f>
        <v>0.725746882249927</v>
      </c>
      <c r="D124" s="71" t="n">
        <f aca="false">B124-A124*(1-C124)</f>
        <v>0.168672732241756</v>
      </c>
    </row>
    <row r="125" customFormat="false" ht="15" hidden="false" customHeight="true" outlineLevel="0" collapsed="false">
      <c r="A125" s="70" t="n">
        <v>0.605</v>
      </c>
      <c r="B125" s="71" t="n">
        <f aca="false">_xlfn.NORM.S.DIST(A125,FALSE())</f>
        <v>0.332222274291067</v>
      </c>
      <c r="C125" s="71" t="n">
        <f aca="false">_xlfn.NORM.S.DIST(A125,TRUE())</f>
        <v>0.727410501650623</v>
      </c>
      <c r="D125" s="71" t="n">
        <f aca="false">B125-A125*(1-C125)</f>
        <v>0.167305627789694</v>
      </c>
    </row>
    <row r="126" customFormat="false" ht="15" hidden="false" customHeight="true" outlineLevel="0" collapsed="false">
      <c r="A126" s="70" t="n">
        <v>0.61</v>
      </c>
      <c r="B126" s="71" t="n">
        <f aca="false">_xlfn.NORM.S.DIST(A126,FALSE())</f>
        <v>0.331214680191153</v>
      </c>
      <c r="C126" s="71" t="n">
        <f aca="false">_xlfn.NORM.S.DIST(A126,TRUE())</f>
        <v>0.729069096216994</v>
      </c>
      <c r="D126" s="71" t="n">
        <f aca="false">B126-A126*(1-C126)</f>
        <v>0.16594682888352</v>
      </c>
    </row>
    <row r="127" customFormat="false" ht="15" hidden="false" customHeight="true" outlineLevel="0" collapsed="false">
      <c r="A127" s="70" t="n">
        <v>0.615</v>
      </c>
      <c r="B127" s="71" t="n">
        <f aca="false">_xlfn.NORM.S.DIST(A127,FALSE())</f>
        <v>0.330201886864424</v>
      </c>
      <c r="C127" s="71" t="n">
        <f aca="false">_xlfn.NORM.S.DIST(A127,TRUE())</f>
        <v>0.730722639787146</v>
      </c>
      <c r="D127" s="71" t="n">
        <f aca="false">B127-A127*(1-C127)</f>
        <v>0.164596310333518</v>
      </c>
    </row>
    <row r="128" customFormat="false" ht="15" hidden="false" customHeight="true" outlineLevel="0" collapsed="false">
      <c r="A128" s="70" t="n">
        <v>0.62</v>
      </c>
      <c r="B128" s="71" t="n">
        <f aca="false">_xlfn.NORM.S.DIST(A128,FALSE())</f>
        <v>0.329183960770765</v>
      </c>
      <c r="C128" s="71" t="n">
        <f aca="false">_xlfn.NORM.S.DIST(A128,TRUE())</f>
        <v>0.732371106531017</v>
      </c>
      <c r="D128" s="71" t="n">
        <f aca="false">B128-A128*(1-C128)</f>
        <v>0.163254046819995</v>
      </c>
    </row>
    <row r="129" customFormat="false" ht="15" hidden="false" customHeight="true" outlineLevel="0" collapsed="false">
      <c r="A129" s="70" t="n">
        <v>0.625</v>
      </c>
      <c r="B129" s="71" t="n">
        <f aca="false">_xlfn.NORM.S.DIST(A129,FALSE())</f>
        <v>0.328160968550375</v>
      </c>
      <c r="C129" s="71" t="n">
        <f aca="false">_xlfn.NORM.S.DIST(A129,TRUE())</f>
        <v>0.7340144709513</v>
      </c>
      <c r="D129" s="71" t="n">
        <f aca="false">B129-A129*(1-C129)</f>
        <v>0.161920012894937</v>
      </c>
    </row>
    <row r="130" customFormat="false" ht="15" hidden="false" customHeight="true" outlineLevel="0" collapsed="false">
      <c r="A130" s="70" t="n">
        <v>0.63</v>
      </c>
      <c r="B130" s="71" t="n">
        <f aca="false">_xlfn.NORM.S.DIST(A130,FALSE())</f>
        <v>0.327132977016555</v>
      </c>
      <c r="C130" s="71" t="n">
        <f aca="false">_xlfn.NORM.S.DIST(A130,TRUE())</f>
        <v>0.735652707884323</v>
      </c>
      <c r="D130" s="71" t="n">
        <f aca="false">B130-A130*(1-C130)</f>
        <v>0.160594182983678</v>
      </c>
    </row>
    <row r="131" customFormat="false" ht="15" hidden="false" customHeight="true" outlineLevel="0" collapsed="false">
      <c r="A131" s="70" t="n">
        <v>0.635</v>
      </c>
      <c r="B131" s="71" t="n">
        <f aca="false">_xlfn.NORM.S.DIST(A131,FALSE())</f>
        <v>0.326100053148497</v>
      </c>
      <c r="C131" s="71" t="n">
        <f aca="false">_xlfn.NORM.S.DIST(A131,TRUE())</f>
        <v>0.737285792500899</v>
      </c>
      <c r="D131" s="71" t="n">
        <f aca="false">B131-A131*(1-C131)</f>
        <v>0.159276531386568</v>
      </c>
    </row>
    <row r="132" customFormat="false" ht="15" hidden="false" customHeight="true" outlineLevel="0" collapsed="false">
      <c r="A132" s="70" t="n">
        <v>0.64</v>
      </c>
      <c r="B132" s="71" t="n">
        <f aca="false">_xlfn.NORM.S.DIST(A132,FALSE())</f>
        <v>0.325062264084082</v>
      </c>
      <c r="C132" s="71" t="n">
        <f aca="false">_xlfn.NORM.S.DIST(A132,TRUE())</f>
        <v>0.738913700307138</v>
      </c>
      <c r="D132" s="71" t="n">
        <f aca="false">B132-A132*(1-C132)</f>
        <v>0.157967032280651</v>
      </c>
    </row>
    <row r="133" customFormat="false" ht="15" hidden="false" customHeight="true" outlineLevel="0" collapsed="false">
      <c r="A133" s="70" t="n">
        <v>0.645</v>
      </c>
      <c r="B133" s="71" t="n">
        <f aca="false">_xlfn.NORM.S.DIST(A133,FALSE())</f>
        <v>0.324019677112673</v>
      </c>
      <c r="C133" s="71" t="n">
        <f aca="false">_xlfn.NORM.S.DIST(A133,TRUE())</f>
        <v>0.74053640714522</v>
      </c>
      <c r="D133" s="71" t="n">
        <f aca="false">B133-A133*(1-C133)</f>
        <v>0.15666565972134</v>
      </c>
    </row>
    <row r="134" customFormat="false" ht="15" hidden="false" customHeight="true" outlineLevel="0" collapsed="false">
      <c r="A134" s="70" t="n">
        <v>0.65</v>
      </c>
      <c r="B134" s="71" t="n">
        <f aca="false">_xlfn.NORM.S.DIST(A134,FALSE())</f>
        <v>0.322972359667914</v>
      </c>
      <c r="C134" s="71" t="n">
        <f aca="false">_xlfn.NORM.S.DIST(A134,TRUE())</f>
        <v>0.742153889194135</v>
      </c>
      <c r="D134" s="71" t="n">
        <f aca="false">B134-A134*(1-C134)</f>
        <v>0.155372387644102</v>
      </c>
    </row>
    <row r="135" customFormat="false" ht="15" hidden="false" customHeight="true" outlineLevel="0" collapsed="false">
      <c r="A135" s="70" t="n">
        <v>0.655</v>
      </c>
      <c r="B135" s="71" t="n">
        <f aca="false">_xlfn.NORM.S.DIST(A135,FALSE())</f>
        <v>0.321920379320538</v>
      </c>
      <c r="C135" s="71" t="n">
        <f aca="false">_xlfn.NORM.S.DIST(A135,TRUE())</f>
        <v>0.743766122970388</v>
      </c>
      <c r="D135" s="71" t="n">
        <f aca="false">B135-A135*(1-C135)</f>
        <v>0.154087189866142</v>
      </c>
    </row>
    <row r="136" customFormat="false" ht="15" hidden="false" customHeight="true" outlineLevel="0" collapsed="false">
      <c r="A136" s="70" t="n">
        <v>0.66</v>
      </c>
      <c r="B136" s="71" t="n">
        <f aca="false">_xlfn.NORM.S.DIST(A136,FALSE())</f>
        <v>0.320863803771173</v>
      </c>
      <c r="C136" s="71" t="n">
        <f aca="false">_xlfn.NORM.S.DIST(A136,TRUE())</f>
        <v>0.745373085328664</v>
      </c>
      <c r="D136" s="71" t="n">
        <f aca="false">B136-A136*(1-C136)</f>
        <v>0.152810040088091</v>
      </c>
    </row>
    <row r="137" customFormat="false" ht="15" hidden="false" customHeight="true" outlineLevel="0" collapsed="false">
      <c r="A137" s="70" t="n">
        <v>0.665</v>
      </c>
      <c r="B137" s="71" t="n">
        <f aca="false">_xlfn.NORM.S.DIST(A137,FALSE())</f>
        <v>0.319802700843165</v>
      </c>
      <c r="C137" s="71" t="n">
        <f aca="false">_xlfn.NORM.S.DIST(A137,TRUE())</f>
        <v>0.746974753462462</v>
      </c>
      <c r="D137" s="71" t="n">
        <f aca="false">B137-A137*(1-C137)</f>
        <v>0.151540911895702</v>
      </c>
    </row>
    <row r="138" customFormat="false" ht="15" hidden="false" customHeight="true" outlineLevel="0" collapsed="false">
      <c r="A138" s="70" t="n">
        <v>0.67</v>
      </c>
      <c r="B138" s="71" t="n">
        <f aca="false">_xlfn.NORM.S.DIST(A138,FALSE())</f>
        <v>0.318737138475402</v>
      </c>
      <c r="C138" s="71" t="n">
        <f aca="false">_xlfn.NORM.S.DIST(A138,TRUE())</f>
        <v>0.74857110490469</v>
      </c>
      <c r="D138" s="71" t="n">
        <f aca="false">B138-A138*(1-C138)</f>
        <v>0.150279778761544</v>
      </c>
    </row>
    <row r="139" customFormat="false" ht="15" hidden="false" customHeight="true" outlineLevel="0" collapsed="false">
      <c r="A139" s="70" t="n">
        <v>0.675</v>
      </c>
      <c r="B139" s="71" t="n">
        <f aca="false">_xlfn.NORM.S.DIST(A139,FALSE())</f>
        <v>0.317667184715148</v>
      </c>
      <c r="C139" s="71" t="n">
        <f aca="false">_xlfn.NORM.S.DIST(A139,TRUE())</f>
        <v>0.750162117528223</v>
      </c>
      <c r="D139" s="71" t="n">
        <f aca="false">B139-A139*(1-C139)</f>
        <v>0.149026614046699</v>
      </c>
    </row>
    <row r="140" customFormat="false" ht="15" hidden="false" customHeight="true" outlineLevel="0" collapsed="false">
      <c r="A140" s="70" t="n">
        <v>0.68</v>
      </c>
      <c r="B140" s="71" t="n">
        <f aca="false">_xlfn.NORM.S.DIST(A140,FALSE())</f>
        <v>0.316592907710893</v>
      </c>
      <c r="C140" s="71" t="n">
        <f aca="false">_xlfn.NORM.S.DIST(A140,TRUE())</f>
        <v>0.75174776954643</v>
      </c>
      <c r="D140" s="71" t="n">
        <f aca="false">B140-A140*(1-C140)</f>
        <v>0.147781391002465</v>
      </c>
    </row>
    <row r="141" customFormat="false" ht="15" hidden="false" customHeight="true" outlineLevel="0" collapsed="false">
      <c r="A141" s="70" t="n">
        <v>0.685</v>
      </c>
      <c r="B141" s="71" t="n">
        <f aca="false">_xlfn.NORM.S.DIST(A141,FALSE())</f>
        <v>0.315514375705203</v>
      </c>
      <c r="C141" s="71" t="n">
        <f aca="false">_xlfn.NORM.S.DIST(A141,TRUE())</f>
        <v>0.753328039513658</v>
      </c>
      <c r="D141" s="71" t="n">
        <f aca="false">B141-A141*(1-C141)</f>
        <v>0.146544082772059</v>
      </c>
    </row>
    <row r="142" customFormat="false" ht="15" hidden="false" customHeight="true" outlineLevel="0" collapsed="false">
      <c r="A142" s="70" t="n">
        <v>0.69</v>
      </c>
      <c r="B142" s="71" t="n">
        <f aca="false">_xlfn.NORM.S.DIST(A142,FALSE())</f>
        <v>0.314431657027597</v>
      </c>
      <c r="C142" s="71" t="n">
        <f aca="false">_xlfn.NORM.S.DIST(A142,TRUE())</f>
        <v>0.754902906325691</v>
      </c>
      <c r="D142" s="71" t="n">
        <f aca="false">B142-A142*(1-C142)</f>
        <v>0.145314662392324</v>
      </c>
    </row>
    <row r="143" customFormat="false" ht="15" hidden="false" customHeight="true" outlineLevel="0" collapsed="false">
      <c r="A143" s="70" t="n">
        <v>0.695</v>
      </c>
      <c r="B143" s="71" t="n">
        <f aca="false">_xlfn.NORM.S.DIST(A143,FALSE())</f>
        <v>0.313344820087424</v>
      </c>
      <c r="C143" s="71" t="n">
        <f aca="false">_xlfn.NORM.S.DIST(A143,TRUE())</f>
        <v>0.756472349220159</v>
      </c>
      <c r="D143" s="71" t="n">
        <f aca="false">B143-A143*(1-C143)</f>
        <v>0.144093102795434</v>
      </c>
    </row>
    <row r="144" customFormat="false" ht="15" hidden="false" customHeight="true" outlineLevel="0" collapsed="false">
      <c r="A144" s="70" t="n">
        <v>0.7</v>
      </c>
      <c r="B144" s="71" t="n">
        <f aca="false">_xlfn.NORM.S.DIST(A144,FALSE())</f>
        <v>0.312253933366761</v>
      </c>
      <c r="C144" s="71" t="n">
        <f aca="false">_xlfn.NORM.S.DIST(A144,TRUE())</f>
        <v>0.758036347776927</v>
      </c>
      <c r="D144" s="71" t="n">
        <f aca="false">B144-A144*(1-C144)</f>
        <v>0.14287937681061</v>
      </c>
    </row>
    <row r="145" customFormat="false" ht="15" hidden="false" customHeight="true" outlineLevel="0" collapsed="false">
      <c r="A145" s="70" t="n">
        <v>0.705</v>
      </c>
      <c r="B145" s="71" t="n">
        <f aca="false">_xlfn.NORM.S.DIST(A145,FALSE())</f>
        <v>0.311159065413329</v>
      </c>
      <c r="C145" s="71" t="n">
        <f aca="false">_xlfn.NORM.S.DIST(A145,TRUE())</f>
        <v>0.759594881918436</v>
      </c>
      <c r="D145" s="71" t="n">
        <f aca="false">B145-A145*(1-C145)</f>
        <v>0.141673457165826</v>
      </c>
    </row>
    <row r="146" customFormat="false" ht="15" hidden="false" customHeight="true" outlineLevel="0" collapsed="false">
      <c r="A146" s="70" t="n">
        <v>0.71</v>
      </c>
      <c r="B146" s="71" t="n">
        <f aca="false">_xlfn.NORM.S.DIST(A146,FALSE())</f>
        <v>0.310060284833416</v>
      </c>
      <c r="C146" s="71" t="n">
        <f aca="false">_xlfn.NORM.S.DIST(A146,TRUE())</f>
        <v>0.761147931910013</v>
      </c>
      <c r="D146" s="71" t="n">
        <f aca="false">B146-A146*(1-C146)</f>
        <v>0.140475316489526</v>
      </c>
    </row>
    <row r="147" customFormat="false" ht="15" hidden="false" customHeight="true" outlineLevel="0" collapsed="false">
      <c r="A147" s="70" t="n">
        <v>0.715</v>
      </c>
      <c r="B147" s="71" t="n">
        <f aca="false">_xlfn.NORM.S.DIST(A147,FALSE())</f>
        <v>0.308957660284829</v>
      </c>
      <c r="C147" s="71" t="n">
        <f aca="false">_xlfn.NORM.S.DIST(A147,TRUE())</f>
        <v>0.762695478360153</v>
      </c>
      <c r="D147" s="71" t="n">
        <f aca="false">B147-A147*(1-C147)</f>
        <v>0.139284927312338</v>
      </c>
    </row>
    <row r="148" customFormat="false" ht="15" hidden="false" customHeight="true" outlineLevel="0" collapsed="false">
      <c r="A148" s="70" t="n">
        <v>0.72</v>
      </c>
      <c r="B148" s="71" t="n">
        <f aca="false">_xlfn.NORM.S.DIST(A148,FALSE())</f>
        <v>0.307851260469853</v>
      </c>
      <c r="C148" s="71" t="n">
        <f aca="false">_xlfn.NORM.S.DIST(A148,TRUE())</f>
        <v>0.764237502220749</v>
      </c>
      <c r="D148" s="71" t="n">
        <f aca="false">B148-A148*(1-C148)</f>
        <v>0.138102262068792</v>
      </c>
    </row>
    <row r="149" customFormat="false" ht="15" hidden="false" customHeight="true" outlineLevel="0" collapsed="false">
      <c r="A149" s="70" t="n">
        <v>0.725</v>
      </c>
      <c r="B149" s="71" t="n">
        <f aca="false">_xlfn.NORM.S.DIST(A149,FALSE())</f>
        <v>0.30674115412824</v>
      </c>
      <c r="C149" s="71" t="n">
        <f aca="false">_xlfn.NORM.S.DIST(A149,TRUE())</f>
        <v>0.765773984787305</v>
      </c>
      <c r="D149" s="71" t="n">
        <f aca="false">B149-A149*(1-C149)</f>
        <v>0.136927293099036</v>
      </c>
    </row>
    <row r="150" customFormat="false" ht="15" hidden="false" customHeight="true" outlineLevel="0" collapsed="false">
      <c r="A150" s="70" t="n">
        <v>0.73</v>
      </c>
      <c r="B150" s="71" t="n">
        <f aca="false">_xlfn.NORM.S.DIST(A150,FALSE())</f>
        <v>0.30562741003021</v>
      </c>
      <c r="C150" s="71" t="n">
        <f aca="false">_xlfn.NORM.S.DIST(A150,TRUE())</f>
        <v>0.767304907699103</v>
      </c>
      <c r="D150" s="71" t="n">
        <f aca="false">B150-A150*(1-C150)</f>
        <v>0.135759992650555</v>
      </c>
    </row>
    <row r="151" customFormat="false" ht="15" hidden="false" customHeight="true" outlineLevel="0" collapsed="false">
      <c r="A151" s="70" t="n">
        <v>0.735</v>
      </c>
      <c r="B151" s="71" t="n">
        <f aca="false">_xlfn.NORM.S.DIST(A151,FALSE())</f>
        <v>0.304510096969478</v>
      </c>
      <c r="C151" s="71" t="n">
        <f aca="false">_xlfn.NORM.S.DIST(A151,TRUE())</f>
        <v>0.768830252939335</v>
      </c>
      <c r="D151" s="71" t="n">
        <f aca="false">B151-A151*(1-C151)</f>
        <v>0.134600332879889</v>
      </c>
    </row>
    <row r="152" customFormat="false" ht="15" hidden="false" customHeight="true" outlineLevel="0" collapsed="false">
      <c r="A152" s="70" t="n">
        <v>0.74</v>
      </c>
      <c r="B152" s="71" t="n">
        <f aca="false">_xlfn.NORM.S.DIST(A152,FALSE())</f>
        <v>0.3033892837563</v>
      </c>
      <c r="C152" s="71" t="n">
        <f aca="false">_xlfn.NORM.S.DIST(A152,TRUE())</f>
        <v>0.77035000283521</v>
      </c>
      <c r="D152" s="71" t="n">
        <f aca="false">B152-A152*(1-C152)</f>
        <v>0.133448285854355</v>
      </c>
    </row>
    <row r="153" customFormat="false" ht="15" hidden="false" customHeight="true" outlineLevel="0" collapsed="false">
      <c r="A153" s="70" t="n">
        <v>0.745</v>
      </c>
      <c r="B153" s="71" t="n">
        <f aca="false">_xlfn.NORM.S.DIST(A153,FALSE())</f>
        <v>0.302265039210549</v>
      </c>
      <c r="C153" s="71" t="n">
        <f aca="false">_xlfn.NORM.S.DIST(A153,TRUE())</f>
        <v>0.77186414005801</v>
      </c>
      <c r="D153" s="71" t="n">
        <f aca="false">B153-A153*(1-C153)</f>
        <v>0.132303823553767</v>
      </c>
    </row>
    <row r="154" customFormat="false" ht="15" hidden="false" customHeight="true" outlineLevel="0" collapsed="false">
      <c r="A154" s="70" t="n">
        <v>0.75</v>
      </c>
      <c r="B154" s="71" t="n">
        <f aca="false">_xlfn.NORM.S.DIST(A154,FALSE())</f>
        <v>0.301137432154804</v>
      </c>
      <c r="C154" s="71" t="n">
        <f aca="false">_xlfn.NORM.S.DIST(A154,TRUE())</f>
        <v>0.773372647623132</v>
      </c>
      <c r="D154" s="71" t="n">
        <f aca="false">B154-A154*(1-C154)</f>
        <v>0.131166917872153</v>
      </c>
    </row>
    <row r="155" customFormat="false" ht="15" hidden="false" customHeight="true" outlineLevel="0" collapsed="false">
      <c r="A155" s="70" t="n">
        <v>0.755</v>
      </c>
      <c r="B155" s="71" t="n">
        <f aca="false">_xlfn.NORM.S.DIST(A155,FALSE())</f>
        <v>0.300006531407477</v>
      </c>
      <c r="C155" s="71" t="n">
        <f aca="false">_xlfn.NORM.S.DIST(A155,TRUE())</f>
        <v>0.774875508890073</v>
      </c>
      <c r="D155" s="71" t="n">
        <f aca="false">B155-A155*(1-C155)</f>
        <v>0.130037540619482</v>
      </c>
    </row>
    <row r="156" customFormat="false" ht="15" hidden="false" customHeight="true" outlineLevel="0" collapsed="false">
      <c r="A156" s="70" t="n">
        <v>0.76</v>
      </c>
      <c r="B156" s="71" t="n">
        <f aca="false">_xlfn.NORM.S.DIST(A156,FALSE())</f>
        <v>0.298872405775953</v>
      </c>
      <c r="C156" s="71" t="n">
        <f aca="false">_xlfn.NORM.S.DIST(A156,TRUE())</f>
        <v>0.776372707562401</v>
      </c>
      <c r="D156" s="71" t="n">
        <f aca="false">B156-A156*(1-C156)</f>
        <v>0.128915663523377</v>
      </c>
    </row>
    <row r="157" customFormat="false" ht="15" hidden="false" customHeight="true" outlineLevel="0" collapsed="false">
      <c r="A157" s="70" t="n">
        <v>0.765</v>
      </c>
      <c r="B157" s="71" t="n">
        <f aca="false">_xlfn.NORM.S.DIST(A157,FALSE())</f>
        <v>0.29773512404977</v>
      </c>
      <c r="C157" s="71" t="n">
        <f aca="false">_xlfn.NORM.S.DIST(A157,TRUE())</f>
        <v>0.777864227687676</v>
      </c>
      <c r="D157" s="71" t="n">
        <f aca="false">B157-A157*(1-C157)</f>
        <v>0.127801258230842</v>
      </c>
    </row>
    <row r="158" customFormat="false" ht="15" hidden="false" customHeight="true" outlineLevel="0" collapsed="false">
      <c r="A158" s="70" t="n">
        <v>0.77</v>
      </c>
      <c r="B158" s="71" t="n">
        <f aca="false">_xlfn.NORM.S.DIST(A158,FALSE())</f>
        <v>0.296594754993816</v>
      </c>
      <c r="C158" s="71" t="n">
        <f aca="false">_xlfn.NORM.S.DIST(A158,TRUE())</f>
        <v>0.77935005365735</v>
      </c>
      <c r="D158" s="71" t="n">
        <f aca="false">B158-A158*(1-C158)</f>
        <v>0.126694296309975</v>
      </c>
    </row>
    <row r="159" customFormat="false" ht="15" hidden="false" customHeight="true" outlineLevel="0" collapsed="false">
      <c r="A159" s="70" t="n">
        <v>0.775</v>
      </c>
      <c r="B159" s="71" t="n">
        <f aca="false">_xlfn.NORM.S.DIST(A159,FALSE())</f>
        <v>0.295451367341563</v>
      </c>
      <c r="C159" s="71" t="n">
        <f aca="false">_xlfn.NORM.S.DIST(A159,TRUE())</f>
        <v>0.780830170206623</v>
      </c>
      <c r="D159" s="71" t="n">
        <f aca="false">B159-A159*(1-C159)</f>
        <v>0.125594749251695</v>
      </c>
    </row>
    <row r="160" customFormat="false" ht="15" hidden="false" customHeight="true" outlineLevel="0" collapsed="false">
      <c r="A160" s="70" t="n">
        <v>0.78</v>
      </c>
      <c r="B160" s="71" t="n">
        <f aca="false">_xlfn.NORM.S.DIST(A160,FALSE())</f>
        <v>0.294305029788325</v>
      </c>
      <c r="C160" s="71" t="n">
        <f aca="false">_xlfn.NORM.S.DIST(A160,TRUE())</f>
        <v>0.782304562414267</v>
      </c>
      <c r="D160" s="71" t="n">
        <f aca="false">B160-A160*(1-C160)</f>
        <v>0.124502588471453</v>
      </c>
    </row>
    <row r="161" customFormat="false" ht="15" hidden="false" customHeight="true" outlineLevel="0" collapsed="false">
      <c r="A161" s="70" t="n">
        <v>0.785</v>
      </c>
      <c r="B161" s="71" t="n">
        <f aca="false">_xlfn.NORM.S.DIST(A161,FALSE())</f>
        <v>0.29315581098455</v>
      </c>
      <c r="C161" s="71" t="n">
        <f aca="false">_xlfn.NORM.S.DIST(A161,TRUE())</f>
        <v>0.783773215702425</v>
      </c>
      <c r="D161" s="71" t="n">
        <f aca="false">B161-A161*(1-C161)</f>
        <v>0.123417785310953</v>
      </c>
    </row>
    <row r="162" customFormat="false" ht="15" hidden="false" customHeight="true" outlineLevel="0" collapsed="false">
      <c r="A162" s="70" t="n">
        <v>0.79</v>
      </c>
      <c r="B162" s="71" t="n">
        <f aca="false">_xlfn.NORM.S.DIST(A162,FALSE())</f>
        <v>0.292003779529141</v>
      </c>
      <c r="C162" s="71" t="n">
        <f aca="false">_xlfn.NORM.S.DIST(A162,TRUE())</f>
        <v>0.785236115836363</v>
      </c>
      <c r="D162" s="71" t="n">
        <f aca="false">B162-A162*(1-C162)</f>
        <v>0.122340311039868</v>
      </c>
    </row>
    <row r="163" customFormat="false" ht="15" hidden="false" customHeight="true" outlineLevel="0" collapsed="false">
      <c r="A163" s="70" t="n">
        <v>0.795</v>
      </c>
      <c r="B163" s="71" t="n">
        <f aca="false">_xlfn.NORM.S.DIST(A163,FALSE())</f>
        <v>0.290849003962814</v>
      </c>
      <c r="C163" s="71" t="n">
        <f aca="false">_xlfn.NORM.S.DIST(A163,TRUE())</f>
        <v>0.786693248924201</v>
      </c>
      <c r="D163" s="71" t="n">
        <f aca="false">B163-A163*(1-C163)</f>
        <v>0.121270136857554</v>
      </c>
    </row>
    <row r="164" customFormat="false" ht="15" hidden="false" customHeight="true" outlineLevel="0" collapsed="false">
      <c r="A164" s="70" t="n">
        <v>0.8</v>
      </c>
      <c r="B164" s="71" t="n">
        <f aca="false">_xlfn.NORM.S.DIST(A164,FALSE())</f>
        <v>0.289691552761483</v>
      </c>
      <c r="C164" s="71" t="n">
        <f aca="false">_xlfn.NORM.S.DIST(A164,TRUE())</f>
        <v>0.788144601416603</v>
      </c>
      <c r="D164" s="71" t="n">
        <f aca="false">B164-A164*(1-C164)</f>
        <v>0.120207233894765</v>
      </c>
    </row>
    <row r="165" customFormat="false" ht="15" hidden="false" customHeight="true" outlineLevel="0" collapsed="false">
      <c r="A165" s="70" t="n">
        <v>0.805</v>
      </c>
      <c r="B165" s="71" t="n">
        <f aca="false">_xlfn.NORM.S.DIST(A165,FALSE())</f>
        <v>0.288531494329683</v>
      </c>
      <c r="C165" s="71" t="n">
        <f aca="false">_xlfn.NORM.S.DIST(A165,TRUE())</f>
        <v>0.789590160106436</v>
      </c>
      <c r="D165" s="71" t="n">
        <f aca="false">B165-A165*(1-C165)</f>
        <v>0.119151573215364</v>
      </c>
    </row>
    <row r="166" customFormat="false" ht="15" hidden="false" customHeight="true" outlineLevel="0" collapsed="false">
      <c r="A166" s="70" t="n">
        <v>0.81</v>
      </c>
      <c r="B166" s="71" t="n">
        <f aca="false">_xlfn.NORM.S.DIST(A166,FALSE())</f>
        <v>0.287368896994028</v>
      </c>
      <c r="C166" s="71" t="n">
        <f aca="false">_xlfn.NORM.S.DIST(A166,TRUE())</f>
        <v>0.791029912128398</v>
      </c>
      <c r="D166" s="71" t="n">
        <f aca="false">B166-A166*(1-C166)</f>
        <v>0.118103125818031</v>
      </c>
    </row>
    <row r="167" customFormat="false" ht="15" hidden="false" customHeight="true" outlineLevel="0" collapsed="false">
      <c r="A167" s="70" t="n">
        <v>0.815</v>
      </c>
      <c r="B167" s="71" t="n">
        <f aca="false">_xlfn.NORM.S.DIST(A167,FALSE())</f>
        <v>0.286203828996707</v>
      </c>
      <c r="C167" s="71" t="n">
        <f aca="false">_xlfn.NORM.S.DIST(A167,TRUE())</f>
        <v>0.792463844958612</v>
      </c>
      <c r="D167" s="71" t="n">
        <f aca="false">B167-A167*(1-C167)</f>
        <v>0.117061862637976</v>
      </c>
    </row>
    <row r="168" customFormat="false" ht="15" hidden="false" customHeight="true" outlineLevel="0" collapsed="false">
      <c r="A168" s="70" t="n">
        <v>0.82</v>
      </c>
      <c r="B168" s="71" t="n">
        <f aca="false">_xlfn.NORM.S.DIST(A168,FALSE())</f>
        <v>0.285036358489007</v>
      </c>
      <c r="C168" s="71" t="n">
        <f aca="false">_xlfn.NORM.S.DIST(A168,TRUE())</f>
        <v>0.793891946414187</v>
      </c>
      <c r="D168" s="71" t="n">
        <f aca="false">B168-A168*(1-C168)</f>
        <v>0.116027754548641</v>
      </c>
    </row>
    <row r="169" customFormat="false" ht="15" hidden="false" customHeight="true" outlineLevel="0" collapsed="false">
      <c r="A169" s="70" t="n">
        <v>0.825</v>
      </c>
      <c r="B169" s="71" t="n">
        <f aca="false">_xlfn.NORM.S.DIST(A169,FALSE())</f>
        <v>0.283866553524887</v>
      </c>
      <c r="C169" s="71" t="n">
        <f aca="false">_xlfn.NORM.S.DIST(A169,TRUE())</f>
        <v>0.795314204652747</v>
      </c>
      <c r="D169" s="71" t="n">
        <f aca="false">B169-A169*(1-C169)</f>
        <v>0.115000772363404</v>
      </c>
    </row>
    <row r="170" customFormat="false" ht="15" hidden="false" customHeight="true" outlineLevel="0" collapsed="false">
      <c r="A170" s="70" t="n">
        <v>0.83</v>
      </c>
      <c r="B170" s="71" t="n">
        <f aca="false">_xlfn.NORM.S.DIST(A170,FALSE())</f>
        <v>0.28269448205458</v>
      </c>
      <c r="C170" s="71" t="n">
        <f aca="false">_xlfn.NORM.S.DIST(A170,TRUE())</f>
        <v>0.796730608171932</v>
      </c>
      <c r="D170" s="71" t="n">
        <f aca="false">B170-A170*(1-C170)</f>
        <v>0.113980886837284</v>
      </c>
    </row>
    <row r="171" customFormat="false" ht="15" hidden="false" customHeight="true" outlineLevel="0" collapsed="false">
      <c r="A171" s="70" t="n">
        <v>0.835</v>
      </c>
      <c r="B171" s="71" t="n">
        <f aca="false">_xlfn.NORM.S.DIST(A171,FALSE())</f>
        <v>0.281520211918239</v>
      </c>
      <c r="C171" s="71" t="n">
        <f aca="false">_xlfn.NORM.S.DIST(A171,TRUE())</f>
        <v>0.798141145808856</v>
      </c>
      <c r="D171" s="71" t="n">
        <f aca="false">B171-A171*(1-C171)</f>
        <v>0.112968068668634</v>
      </c>
    </row>
    <row r="172" customFormat="false" ht="15" hidden="false" customHeight="true" outlineLevel="0" collapsed="false">
      <c r="A172" s="70" t="n">
        <v>0.84</v>
      </c>
      <c r="B172" s="71" t="n">
        <f aca="false">_xlfn.NORM.S.DIST(A172,FALSE())</f>
        <v>0.280343810839621</v>
      </c>
      <c r="C172" s="71" t="n">
        <f aca="false">_xlfn.NORM.S.DIST(A172,TRUE())</f>
        <v>0.79954580673955</v>
      </c>
      <c r="D172" s="71" t="n">
        <f aca="false">B172-A172*(1-C172)</f>
        <v>0.111962288500843</v>
      </c>
    </row>
    <row r="173" customFormat="false" ht="15" hidden="false" customHeight="true" outlineLevel="0" collapsed="false">
      <c r="A173" s="70" t="n">
        <v>0.845</v>
      </c>
      <c r="B173" s="71" t="n">
        <f aca="false">_xlfn.NORM.S.DIST(A173,FALSE())</f>
        <v>0.279165346419812</v>
      </c>
      <c r="C173" s="71" t="n">
        <f aca="false">_xlfn.NORM.S.DIST(A173,TRUE())</f>
        <v>0.800944580478358</v>
      </c>
      <c r="D173" s="71" t="n">
        <f aca="false">B173-A173*(1-C173)</f>
        <v>0.110963516924024</v>
      </c>
    </row>
    <row r="174" customFormat="false" ht="15" hidden="false" customHeight="true" outlineLevel="0" collapsed="false">
      <c r="A174" s="70" t="n">
        <v>0.85</v>
      </c>
      <c r="B174" s="71" t="n">
        <f aca="false">_xlfn.NORM.S.DIST(A174,FALSE())</f>
        <v>0.277984886130997</v>
      </c>
      <c r="C174" s="71" t="n">
        <f aca="false">_xlfn.NORM.S.DIST(A174,TRUE())</f>
        <v>0.802337456877308</v>
      </c>
      <c r="D174" s="71" t="n">
        <f aca="false">B174-A174*(1-C174)</f>
        <v>0.109971724476708</v>
      </c>
    </row>
    <row r="175" customFormat="false" ht="15" hidden="false" customHeight="true" outlineLevel="0" collapsed="false">
      <c r="A175" s="70" t="n">
        <v>0.855</v>
      </c>
      <c r="B175" s="71" t="n">
        <f aca="false">_xlfn.NORM.S.DIST(A175,FALSE())</f>
        <v>0.276802497310263</v>
      </c>
      <c r="C175" s="71" t="n">
        <f aca="false">_xlfn.NORM.S.DIST(A175,TRUE())</f>
        <v>0.803724426125456</v>
      </c>
      <c r="D175" s="71" t="n">
        <f aca="false">B175-A175*(1-C175)</f>
        <v>0.108986881647527</v>
      </c>
    </row>
    <row r="176" customFormat="false" ht="15" hidden="false" customHeight="true" outlineLevel="0" collapsed="false">
      <c r="A176" s="70" t="n">
        <v>0.86</v>
      </c>
      <c r="B176" s="71" t="n">
        <f aca="false">_xlfn.NORM.S.DIST(A176,FALSE())</f>
        <v>0.275618247153457</v>
      </c>
      <c r="C176" s="71" t="n">
        <f aca="false">_xlfn.NORM.S.DIST(A176,TRUE())</f>
        <v>0.805105478748192</v>
      </c>
      <c r="D176" s="71" t="n">
        <f aca="false">B176-A176*(1-C176)</f>
        <v>0.108008958876902</v>
      </c>
    </row>
    <row r="177" customFormat="false" ht="15" hidden="false" customHeight="true" outlineLevel="0" collapsed="false">
      <c r="A177" s="70" t="n">
        <v>0.865</v>
      </c>
      <c r="B177" s="71" t="n">
        <f aca="false">_xlfn.NORM.S.DIST(A177,FALSE())</f>
        <v>0.274432202709077</v>
      </c>
      <c r="C177" s="71" t="n">
        <f aca="false">_xlfn.NORM.S.DIST(A177,TRUE())</f>
        <v>0.80648060560652</v>
      </c>
      <c r="D177" s="71" t="n">
        <f aca="false">B177-A177*(1-C177)</f>
        <v>0.107037926558717</v>
      </c>
    </row>
    <row r="178" customFormat="false" ht="15" hidden="false" customHeight="true" outlineLevel="0" collapsed="false">
      <c r="A178" s="70" t="n">
        <v>0.87</v>
      </c>
      <c r="B178" s="71" t="n">
        <f aca="false">_xlfn.NORM.S.DIST(A178,FALSE())</f>
        <v>0.273244430872216</v>
      </c>
      <c r="C178" s="71" t="n">
        <f aca="false">_xlfn.NORM.S.DIST(A178,TRUE())</f>
        <v>0.807849797896304</v>
      </c>
      <c r="D178" s="71" t="n">
        <f aca="false">B178-A178*(1-C178)</f>
        <v>0.106073755042</v>
      </c>
    </row>
    <row r="179" customFormat="false" ht="15" hidden="false" customHeight="true" outlineLevel="0" collapsed="false">
      <c r="A179" s="70" t="n">
        <v>0.875</v>
      </c>
      <c r="B179" s="71" t="n">
        <f aca="false">_xlfn.NORM.S.DIST(A179,FALSE())</f>
        <v>0.272054998378544</v>
      </c>
      <c r="C179" s="71" t="n">
        <f aca="false">_xlfn.NORM.S.DIST(A179,TRUE())</f>
        <v>0.809213047147489</v>
      </c>
      <c r="D179" s="71" t="n">
        <f aca="false">B179-A179*(1-C179)</f>
        <v>0.105116414632597</v>
      </c>
    </row>
    <row r="180" customFormat="false" ht="15" hidden="false" customHeight="true" outlineLevel="0" collapsed="false">
      <c r="A180" s="70" t="n">
        <v>0.88</v>
      </c>
      <c r="B180" s="71" t="n">
        <f aca="false">_xlfn.NORM.S.DIST(A180,FALSE())</f>
        <v>0.270863971798338</v>
      </c>
      <c r="C180" s="71" t="n">
        <f aca="false">_xlfn.NORM.S.DIST(A180,TRUE())</f>
        <v>0.810570345223288</v>
      </c>
      <c r="D180" s="71" t="n">
        <f aca="false">B180-A180*(1-C180)</f>
        <v>0.104165875594831</v>
      </c>
    </row>
    <row r="181" customFormat="false" ht="15" hidden="false" customHeight="true" outlineLevel="0" collapsed="false">
      <c r="A181" s="70" t="n">
        <v>0.885</v>
      </c>
      <c r="B181" s="71" t="n">
        <f aca="false">_xlfn.NORM.S.DIST(A181,FALSE())</f>
        <v>0.269671417530565</v>
      </c>
      <c r="C181" s="71" t="n">
        <f aca="false">_xlfn.NORM.S.DIST(A181,TRUE())</f>
        <v>0.811921684319337</v>
      </c>
      <c r="D181" s="71" t="n">
        <f aca="false">B181-A181*(1-C181)</f>
        <v>0.103222108153178</v>
      </c>
    </row>
    <row r="182" customFormat="false" ht="15" hidden="false" customHeight="true" outlineLevel="0" collapsed="false">
      <c r="A182" s="70" t="n">
        <v>0.89</v>
      </c>
      <c r="B182" s="71" t="n">
        <f aca="false">_xlfn.NORM.S.DIST(A182,FALSE())</f>
        <v>0.268477401797002</v>
      </c>
      <c r="C182" s="71" t="n">
        <f aca="false">_xlfn.NORM.S.DIST(A182,TRUE())</f>
        <v>0.813267056962827</v>
      </c>
      <c r="D182" s="71" t="n">
        <f aca="false">B182-A182*(1-C182)</f>
        <v>0.102285082493919</v>
      </c>
    </row>
    <row r="183" customFormat="false" ht="15" hidden="false" customHeight="true" outlineLevel="0" collapsed="false">
      <c r="A183" s="70" t="n">
        <v>0.895</v>
      </c>
      <c r="B183" s="71" t="n">
        <f aca="false">_xlfn.NORM.S.DIST(A183,FALSE())</f>
        <v>0.26728199063641</v>
      </c>
      <c r="C183" s="71" t="n">
        <f aca="false">_xlfn.NORM.S.DIST(A183,TRUE())</f>
        <v>0.814606456011606</v>
      </c>
      <c r="D183" s="71" t="n">
        <f aca="false">B183-A183*(1-C183)</f>
        <v>0.101354768766797</v>
      </c>
    </row>
    <row r="184" customFormat="false" ht="15" hidden="false" customHeight="true" outlineLevel="0" collapsed="false">
      <c r="A184" s="70" t="n">
        <v>0.9</v>
      </c>
      <c r="B184" s="71" t="n">
        <f aca="false">_xlfn.NORM.S.DIST(A184,FALSE())</f>
        <v>0.266085249898755</v>
      </c>
      <c r="C184" s="71" t="n">
        <f aca="false">_xlfn.NORM.S.DIST(A184,TRUE())</f>
        <v>0.815939874653241</v>
      </c>
      <c r="D184" s="71" t="n">
        <f aca="false">B184-A184*(1-C184)</f>
        <v>0.100431137086671</v>
      </c>
    </row>
    <row r="185" customFormat="false" ht="15" hidden="false" customHeight="true" outlineLevel="0" collapsed="false">
      <c r="A185" s="70" t="n">
        <v>0.905</v>
      </c>
      <c r="B185" s="71" t="n">
        <f aca="false">_xlfn.NORM.S.DIST(A185,FALSE())</f>
        <v>0.264887245239478</v>
      </c>
      <c r="C185" s="71" t="n">
        <f aca="false">_xlfn.NORM.S.DIST(A185,TRUE())</f>
        <v>0.817267306404068</v>
      </c>
      <c r="D185" s="71" t="n">
        <f aca="false">B185-A185*(1-C185)</f>
        <v>0.0995141575351599</v>
      </c>
    </row>
    <row r="186" customFormat="false" ht="15" hidden="false" customHeight="true" outlineLevel="0" collapsed="false">
      <c r="A186" s="70" t="n">
        <v>0.91</v>
      </c>
      <c r="B186" s="71" t="n">
        <f aca="false">_xlfn.NORM.S.DIST(A186,FALSE())</f>
        <v>0.263688042113818</v>
      </c>
      <c r="C186" s="71" t="n">
        <f aca="false">_xlfn.NORM.S.DIST(A186,TRUE())</f>
        <v>0.818588745108203</v>
      </c>
      <c r="D186" s="71" t="n">
        <f aca="false">B186-A186*(1-C186)</f>
        <v>0.0986038001622827</v>
      </c>
    </row>
    <row r="187" customFormat="false" ht="15" hidden="false" customHeight="true" outlineLevel="0" collapsed="false">
      <c r="A187" s="70" t="n">
        <v>0.915</v>
      </c>
      <c r="B187" s="71" t="n">
        <f aca="false">_xlfn.NORM.S.DIST(A187,FALSE())</f>
        <v>0.262487705771179</v>
      </c>
      <c r="C187" s="71" t="n">
        <f aca="false">_xlfn.NORM.S.DIST(A187,TRUE())</f>
        <v>0.819904184936523</v>
      </c>
      <c r="D187" s="71" t="n">
        <f aca="false">B187-A187*(1-C187)</f>
        <v>0.0977000349880976</v>
      </c>
    </row>
    <row r="188" customFormat="false" ht="15" hidden="false" customHeight="true" outlineLevel="0" collapsed="false">
      <c r="A188" s="70" t="n">
        <v>0.92</v>
      </c>
      <c r="B188" s="71" t="n">
        <f aca="false">_xlfn.NORM.S.DIST(A188,FALSE())</f>
        <v>0.261286301249553</v>
      </c>
      <c r="C188" s="71" t="n">
        <f aca="false">_xlfn.NORM.S.DIST(A188,TRUE())</f>
        <v>0.821213620385628</v>
      </c>
      <c r="D188" s="71" t="n">
        <f aca="false">B188-A188*(1-C188)</f>
        <v>0.0968028320043312</v>
      </c>
    </row>
    <row r="189" customFormat="false" ht="15" hidden="false" customHeight="true" outlineLevel="0" collapsed="false">
      <c r="A189" s="70" t="n">
        <v>0.925</v>
      </c>
      <c r="B189" s="71" t="n">
        <f aca="false">_xlfn.NORM.S.DIST(A189,FALSE())</f>
        <v>0.260083893369996</v>
      </c>
      <c r="C189" s="71" t="n">
        <f aca="false">_xlfn.NORM.S.DIST(A189,TRUE())</f>
        <v>0.822517046276768</v>
      </c>
      <c r="D189" s="71" t="n">
        <f aca="false">B189-A189*(1-C189)</f>
        <v>0.0959121611760058</v>
      </c>
    </row>
    <row r="190" customFormat="false" ht="15" hidden="false" customHeight="true" outlineLevel="0" collapsed="false">
      <c r="A190" s="70" t="n">
        <v>0.93</v>
      </c>
      <c r="B190" s="71" t="n">
        <f aca="false">_xlfn.NORM.S.DIST(A190,FALSE())</f>
        <v>0.258880546731149</v>
      </c>
      <c r="C190" s="71" t="n">
        <f aca="false">_xlfn.NORM.S.DIST(A190,TRUE())</f>
        <v>0.823814457754742</v>
      </c>
      <c r="D190" s="71" t="n">
        <f aca="false">B190-A190*(1-C190)</f>
        <v>0.095027992443059</v>
      </c>
    </row>
    <row r="191" customFormat="false" ht="15" hidden="false" customHeight="true" outlineLevel="0" collapsed="false">
      <c r="A191" s="70" t="n">
        <v>0.935</v>
      </c>
      <c r="B191" s="71" t="n">
        <f aca="false">_xlfn.NORM.S.DIST(A191,FALSE())</f>
        <v>0.257676325703821</v>
      </c>
      <c r="C191" s="71" t="n">
        <f aca="false">_xlfn.NORM.S.DIST(A191,TRUE())</f>
        <v>0.825105850286778</v>
      </c>
      <c r="D191" s="71" t="n">
        <f aca="false">B191-A191*(1-C191)</f>
        <v>0.0941502957219589</v>
      </c>
    </row>
    <row r="192" customFormat="false" ht="15" hidden="false" customHeight="true" outlineLevel="0" collapsed="false">
      <c r="A192" s="70" t="n">
        <v>0.94</v>
      </c>
      <c r="B192" s="71" t="n">
        <f aca="false">_xlfn.NORM.S.DIST(A192,FALSE())</f>
        <v>0.25647129442562</v>
      </c>
      <c r="C192" s="71" t="n">
        <f aca="false">_xlfn.NORM.S.DIST(A192,TRUE())</f>
        <v>0.826391219661375</v>
      </c>
      <c r="D192" s="71" t="n">
        <f aca="false">B192-A192*(1-C192)</f>
        <v>0.0932790409073132</v>
      </c>
    </row>
    <row r="193" customFormat="false" ht="15" hidden="false" customHeight="true" outlineLevel="0" collapsed="false">
      <c r="A193" s="70" t="n">
        <v>0.945</v>
      </c>
      <c r="B193" s="71" t="n">
        <f aca="false">_xlfn.NORM.S.DIST(A193,FALSE())</f>
        <v>0.255265516795637</v>
      </c>
      <c r="C193" s="71" t="n">
        <f aca="false">_xlfn.NORM.S.DIST(A193,TRUE())</f>
        <v>0.827670561987128</v>
      </c>
      <c r="D193" s="71" t="n">
        <f aca="false">B193-A193*(1-C193)</f>
        <v>0.0924141978734734</v>
      </c>
    </row>
    <row r="194" customFormat="false" ht="15" hidden="false" customHeight="true" outlineLevel="0" collapsed="false">
      <c r="A194" s="70" t="n">
        <v>0.95</v>
      </c>
      <c r="B194" s="71" t="n">
        <f aca="false">_xlfn.NORM.S.DIST(A194,FALSE())</f>
        <v>0.254059056469189</v>
      </c>
      <c r="C194" s="71" t="n">
        <f aca="false">_xlfn.NORM.S.DIST(A194,TRUE())</f>
        <v>0.828943873691518</v>
      </c>
      <c r="D194" s="71" t="n">
        <f aca="false">B194-A194*(1-C194)</f>
        <v>0.0915557364761314</v>
      </c>
    </row>
    <row r="195" customFormat="false" ht="15" hidden="false" customHeight="true" outlineLevel="0" collapsed="false">
      <c r="A195" s="70" t="n">
        <v>0.955</v>
      </c>
      <c r="B195" s="71" t="n">
        <f aca="false">_xlfn.NORM.S.DIST(A195,FALSE())</f>
        <v>0.252851976852613</v>
      </c>
      <c r="C195" s="71" t="n">
        <f aca="false">_xlfn.NORM.S.DIST(A195,TRUE())</f>
        <v>0.830211151519684</v>
      </c>
      <c r="D195" s="71" t="n">
        <f aca="false">B195-A195*(1-C195)</f>
        <v>0.0907036265539107</v>
      </c>
    </row>
    <row r="196" customFormat="false" ht="15" hidden="false" customHeight="true" outlineLevel="0" collapsed="false">
      <c r="A196" s="70" t="n">
        <v>0.96</v>
      </c>
      <c r="B196" s="71" t="n">
        <f aca="false">_xlfn.NORM.S.DIST(A196,FALSE())</f>
        <v>0.251644341098117</v>
      </c>
      <c r="C196" s="71" t="n">
        <f aca="false">_xlfn.NORM.S.DIST(A196,TRUE())</f>
        <v>0.831472392533162</v>
      </c>
      <c r="D196" s="71" t="n">
        <f aca="false">B196-A196*(1-C196)</f>
        <v>0.0898578379299528</v>
      </c>
    </row>
    <row r="197" customFormat="false" ht="15" hidden="false" customHeight="true" outlineLevel="0" collapsed="false">
      <c r="A197" s="70" t="n">
        <v>0.965</v>
      </c>
      <c r="B197" s="71" t="n">
        <f aca="false">_xlfn.NORM.S.DIST(A197,FALSE())</f>
        <v>0.250436212098691</v>
      </c>
      <c r="C197" s="71" t="n">
        <f aca="false">_xlfn.NORM.S.DIST(A197,TRUE())</f>
        <v>0.832727594108605</v>
      </c>
      <c r="D197" s="71" t="n">
        <f aca="false">B197-A197*(1-C197)</f>
        <v>0.0890183404134949</v>
      </c>
    </row>
    <row r="198" customFormat="false" ht="15" hidden="false" customHeight="true" outlineLevel="0" collapsed="false">
      <c r="A198" s="70" t="n">
        <v>0.97</v>
      </c>
      <c r="B198" s="71" t="n">
        <f aca="false">_xlfn.NORM.S.DIST(A198,FALSE())</f>
        <v>0.249227652483066</v>
      </c>
      <c r="C198" s="71" t="n">
        <f aca="false">_xlfn.NORM.S.DIST(A198,TRUE())</f>
        <v>0.83397675393647</v>
      </c>
      <c r="D198" s="71" t="n">
        <f aca="false">B198-A198*(1-C198)</f>
        <v>0.0881851038014423</v>
      </c>
    </row>
    <row r="199" customFormat="false" ht="15" hidden="false" customHeight="true" outlineLevel="0" collapsed="false">
      <c r="A199" s="70" t="n">
        <v>0.975</v>
      </c>
      <c r="B199" s="71" t="n">
        <f aca="false">_xlfn.NORM.S.DIST(A199,FALSE())</f>
        <v>0.248018724610737</v>
      </c>
      <c r="C199" s="71" t="n">
        <f aca="false">_xlfn.NORM.S.DIST(A199,TRUE())</f>
        <v>0.83521987001969</v>
      </c>
      <c r="D199" s="71" t="n">
        <f aca="false">B199-A199*(1-C199)</f>
        <v>0.0873580978799345</v>
      </c>
    </row>
    <row r="200" customFormat="false" ht="15" hidden="false" customHeight="true" outlineLevel="0" collapsed="false">
      <c r="A200" s="70" t="n">
        <v>0.98</v>
      </c>
      <c r="B200" s="71" t="n">
        <f aca="false">_xlfn.NORM.S.DIST(A200,FALSE())</f>
        <v>0.246809490567043</v>
      </c>
      <c r="C200" s="71" t="n">
        <f aca="false">_xlfn.NORM.S.DIST(A200,TRUE())</f>
        <v>0.836456940672308</v>
      </c>
      <c r="D200" s="71" t="n">
        <f aca="false">B200-A200*(1-C200)</f>
        <v>0.0865372924259043</v>
      </c>
    </row>
    <row r="201" customFormat="false" ht="15" hidden="false" customHeight="true" outlineLevel="0" collapsed="false">
      <c r="A201" s="70" t="n">
        <v>0.985</v>
      </c>
      <c r="B201" s="71" t="n">
        <f aca="false">_xlfn.NORM.S.DIST(A201,FALSE())</f>
        <v>0.2456000121583</v>
      </c>
      <c r="C201" s="71" t="n">
        <f aca="false">_xlfn.NORM.S.DIST(A201,TRUE())</f>
        <v>0.837687964518101</v>
      </c>
      <c r="D201" s="71" t="n">
        <f aca="false">B201-A201*(1-C201)</f>
        <v>0.0857226572086291</v>
      </c>
    </row>
    <row r="202" customFormat="false" ht="15" hidden="false" customHeight="true" outlineLevel="0" collapsed="false">
      <c r="A202" s="70" t="n">
        <v>0.99</v>
      </c>
      <c r="B202" s="71" t="n">
        <f aca="false">_xlfn.NORM.S.DIST(A202,FALSE())</f>
        <v>0.244390350907</v>
      </c>
      <c r="C202" s="71" t="n">
        <f aca="false">_xlfn.NORM.S.DIST(A202,TRUE())</f>
        <v>0.838912940489169</v>
      </c>
      <c r="D202" s="71" t="n">
        <f aca="false">B202-A202*(1-C202)</f>
        <v>0.084914161991277</v>
      </c>
    </row>
    <row r="203" customFormat="false" ht="15" hidden="false" customHeight="true" outlineLevel="0" collapsed="false">
      <c r="A203" s="70" t="n">
        <v>0.995</v>
      </c>
      <c r="B203" s="71" t="n">
        <f aca="false">_xlfn.NORM.S.DIST(A203,FALSE())</f>
        <v>0.243180568047061</v>
      </c>
      <c r="C203" s="71" t="n">
        <f aca="false">_xlfn.NORM.S.DIST(A203,TRUE())</f>
        <v>0.840131867824506</v>
      </c>
      <c r="D203" s="71" t="n">
        <f aca="false">B203-A203*(1-C203)</f>
        <v>0.0841117765324443</v>
      </c>
    </row>
    <row r="204" customFormat="false" ht="15" hidden="false" customHeight="true" outlineLevel="0" collapsed="false">
      <c r="A204" s="70" t="n">
        <v>1</v>
      </c>
      <c r="B204" s="71" t="n">
        <f aca="false">_xlfn.NORM.S.DIST(A204,FALSE())</f>
        <v>0.241970724519143</v>
      </c>
      <c r="C204" s="71" t="n">
        <f aca="false">_xlfn.NORM.S.DIST(A204,TRUE())</f>
        <v>0.841344746068543</v>
      </c>
      <c r="D204" s="71" t="n">
        <f aca="false">B204-A204*(1-C204)</f>
        <v>0.0833154705876864</v>
      </c>
    </row>
    <row r="205" customFormat="false" ht="15" hidden="false" customHeight="true" outlineLevel="0" collapsed="false">
      <c r="A205" s="70" t="n">
        <v>1.005</v>
      </c>
      <c r="B205" s="71" t="n">
        <f aca="false">_xlfn.NORM.S.DIST(A205,FALSE())</f>
        <v>0.240760880966021</v>
      </c>
      <c r="C205" s="71" t="n">
        <f aca="false">_xlfn.NORM.S.DIST(A205,TRUE())</f>
        <v>0.842551575069672</v>
      </c>
      <c r="D205" s="71" t="n">
        <f aca="false">B205-A205*(1-C205)</f>
        <v>0.0825252139110414</v>
      </c>
    </row>
    <row r="206" customFormat="false" ht="15" hidden="false" customHeight="true" outlineLevel="0" collapsed="false">
      <c r="A206" s="70" t="n">
        <v>1.01</v>
      </c>
      <c r="B206" s="71" t="n">
        <f aca="false">_xlfn.NORM.S.DIST(A206,FALSE())</f>
        <v>0.239551097728013</v>
      </c>
      <c r="C206" s="71" t="n">
        <f aca="false">_xlfn.NORM.S.DIST(A206,TRUE())</f>
        <v>0.843752354978745</v>
      </c>
      <c r="D206" s="71" t="n">
        <f aca="false">B206-A206*(1-C206)</f>
        <v>0.0817409762565462</v>
      </c>
    </row>
    <row r="207" customFormat="false" ht="15" hidden="false" customHeight="true" outlineLevel="0" collapsed="false">
      <c r="A207" s="70" t="n">
        <v>1.015</v>
      </c>
      <c r="B207" s="71" t="n">
        <f aca="false">_xlfn.NORM.S.DIST(A207,FALSE())</f>
        <v>0.238341434838481</v>
      </c>
      <c r="C207" s="71" t="n">
        <f aca="false">_xlfn.NORM.S.DIST(A207,TRUE())</f>
        <v>0.84494708624755</v>
      </c>
      <c r="D207" s="71" t="n">
        <f aca="false">B207-A207*(1-C207)</f>
        <v>0.0809627273797451</v>
      </c>
    </row>
    <row r="208" customFormat="false" ht="15" hidden="false" customHeight="true" outlineLevel="0" collapsed="false">
      <c r="A208" s="70" t="n">
        <v>1.02</v>
      </c>
      <c r="B208" s="71" t="n">
        <f aca="false">_xlfn.NORM.S.DIST(A208,FALSE())</f>
        <v>0.23713195201938</v>
      </c>
      <c r="C208" s="71" t="n">
        <f aca="false">_xlfn.NORM.S.DIST(A208,TRUE())</f>
        <v>0.846135769627265</v>
      </c>
      <c r="D208" s="71" t="n">
        <f aca="false">B208-A208*(1-C208)</f>
        <v>0.08019043703919</v>
      </c>
    </row>
    <row r="209" customFormat="false" ht="15" hidden="false" customHeight="true" outlineLevel="0" collapsed="false">
      <c r="A209" s="70" t="n">
        <v>1.025</v>
      </c>
      <c r="B209" s="71" t="n">
        <f aca="false">_xlfn.NORM.S.DIST(A209,FALSE())</f>
        <v>0.235922708676873</v>
      </c>
      <c r="C209" s="71" t="n">
        <f aca="false">_xlfn.NORM.S.DIST(A209,TRUE())</f>
        <v>0.84731840616689</v>
      </c>
      <c r="D209" s="71" t="n">
        <f aca="false">B209-A209*(1-C209)</f>
        <v>0.0794240749979345</v>
      </c>
    </row>
    <row r="210" customFormat="false" ht="15" hidden="false" customHeight="true" outlineLevel="0" collapsed="false">
      <c r="A210" s="70" t="n">
        <v>1.03</v>
      </c>
      <c r="B210" s="71" t="n">
        <f aca="false">_xlfn.NORM.S.DIST(A210,FALSE())</f>
        <v>0.234713763897012</v>
      </c>
      <c r="C210" s="71" t="n">
        <f aca="false">_xlfn.NORM.S.DIST(A210,TRUE())</f>
        <v>0.848494997211656</v>
      </c>
      <c r="D210" s="71" t="n">
        <f aca="false">B210-A210*(1-C210)</f>
        <v>0.0786636110250179</v>
      </c>
    </row>
    <row r="211" customFormat="false" ht="15" hidden="false" customHeight="true" outlineLevel="0" collapsed="false">
      <c r="A211" s="70" t="n">
        <v>1.035</v>
      </c>
      <c r="B211" s="71" t="n">
        <f aca="false">_xlfn.NORM.S.DIST(A211,FALSE())</f>
        <v>0.233505176441475</v>
      </c>
      <c r="C211" s="71" t="n">
        <f aca="false">_xlfn.NORM.S.DIST(A211,TRUE())</f>
        <v>0.849665544401419</v>
      </c>
      <c r="D211" s="71" t="n">
        <f aca="false">B211-A211*(1-C211)</f>
        <v>0.077909014896943</v>
      </c>
    </row>
    <row r="212" customFormat="false" ht="15" hidden="false" customHeight="true" outlineLevel="0" collapsed="false">
      <c r="A212" s="70" t="n">
        <v>1.04</v>
      </c>
      <c r="B212" s="71" t="n">
        <f aca="false">_xlfn.NORM.S.DIST(A212,FALSE())</f>
        <v>0.232297004743366</v>
      </c>
      <c r="C212" s="71" t="n">
        <f aca="false">_xlfn.NORM.S.DIST(A212,TRUE())</f>
        <v>0.850830049669019</v>
      </c>
      <c r="D212" s="71" t="n">
        <f aca="false">B212-A212*(1-C212)</f>
        <v>0.0771602563991456</v>
      </c>
    </row>
    <row r="213" customFormat="false" ht="15" hidden="false" customHeight="true" outlineLevel="0" collapsed="false">
      <c r="A213" s="70" t="n">
        <v>1.045</v>
      </c>
      <c r="B213" s="71" t="n">
        <f aca="false">_xlfn.NORM.S.DIST(A213,FALSE())</f>
        <v>0.231089306903081</v>
      </c>
      <c r="C213" s="71" t="n">
        <f aca="false">_xlfn.NORM.S.DIST(A213,TRUE())</f>
        <v>0.851988515238634</v>
      </c>
      <c r="D213" s="71" t="n">
        <f aca="false">B213-A213*(1-C213)</f>
        <v>0.0764173053274539</v>
      </c>
    </row>
    <row r="214" customFormat="false" ht="15" hidden="false" customHeight="true" outlineLevel="0" collapsed="false">
      <c r="A214" s="70" t="n">
        <v>1.05</v>
      </c>
      <c r="B214" s="71" t="n">
        <f aca="false">_xlfn.NORM.S.DIST(A214,FALSE())</f>
        <v>0.229882140684233</v>
      </c>
      <c r="C214" s="71" t="n">
        <f aca="false">_xlfn.NORM.S.DIST(A214,TRUE())</f>
        <v>0.853140943624104</v>
      </c>
      <c r="D214" s="71" t="n">
        <f aca="false">B214-A214*(1-C214)</f>
        <v>0.0756801314895423</v>
      </c>
    </row>
    <row r="215" customFormat="false" ht="15" hidden="false" customHeight="true" outlineLevel="0" collapsed="false">
      <c r="A215" s="70" t="n">
        <v>1.055</v>
      </c>
      <c r="B215" s="71" t="n">
        <f aca="false">_xlfn.NORM.S.DIST(A215,FALSE())</f>
        <v>0.228675563509641</v>
      </c>
      <c r="C215" s="71" t="n">
        <f aca="false">_xlfn.NORM.S.DIST(A215,TRUE())</f>
        <v>0.854287337627236</v>
      </c>
      <c r="D215" s="71" t="n">
        <f aca="false">B215-A215*(1-C215)</f>
        <v>0.0749487047063752</v>
      </c>
    </row>
    <row r="216" customFormat="false" ht="15" hidden="false" customHeight="true" outlineLevel="0" collapsed="false">
      <c r="A216" s="70" t="n">
        <v>1.06</v>
      </c>
      <c r="B216" s="71" t="n">
        <f aca="false">_xlfn.NORM.S.DIST(A216,FALSE())</f>
        <v>0.227469632457386</v>
      </c>
      <c r="C216" s="71" t="n">
        <f aca="false">_xlfn.NORM.S.DIST(A216,TRUE())</f>
        <v>0.85542770033609</v>
      </c>
      <c r="D216" s="71" t="n">
        <f aca="false">B216-A216*(1-C216)</f>
        <v>0.0742229948136417</v>
      </c>
    </row>
    <row r="217" customFormat="false" ht="15" hidden="false" customHeight="true" outlineLevel="0" collapsed="false">
      <c r="A217" s="70" t="n">
        <v>1.065</v>
      </c>
      <c r="B217" s="71" t="n">
        <f aca="false">_xlfn.NORM.S.DIST(A217,FALSE())</f>
        <v>0.226264404256924</v>
      </c>
      <c r="C217" s="71" t="n">
        <f aca="false">_xlfn.NORM.S.DIST(A217,TRUE())</f>
        <v>0.856562035123249</v>
      </c>
      <c r="D217" s="71" t="n">
        <f aca="false">B217-A217*(1-C217)</f>
        <v>0.0735029716631842</v>
      </c>
    </row>
    <row r="218" customFormat="false" ht="15" hidden="false" customHeight="true" outlineLevel="0" collapsed="false">
      <c r="A218" s="70" t="n">
        <v>1.07</v>
      </c>
      <c r="B218" s="71" t="n">
        <f aca="false">_xlfn.NORM.S.DIST(A218,FALSE())</f>
        <v>0.22505993528527</v>
      </c>
      <c r="C218" s="71" t="n">
        <f aca="false">_xlfn.NORM.S.DIST(A218,TRUE())</f>
        <v>0.857690345644061</v>
      </c>
      <c r="D218" s="71" t="n">
        <f aca="false">B218-A218*(1-C218)</f>
        <v>0.0727886051244147</v>
      </c>
    </row>
    <row r="219" customFormat="false" ht="15" hidden="false" customHeight="true" outlineLevel="0" collapsed="false">
      <c r="A219" s="70" t="n">
        <v>1.075</v>
      </c>
      <c r="B219" s="71" t="n">
        <f aca="false">_xlfn.NORM.S.DIST(A219,FALSE())</f>
        <v>0.22385628156324</v>
      </c>
      <c r="C219" s="71" t="n">
        <f aca="false">_xlfn.NORM.S.DIST(A219,TRUE())</f>
        <v>0.858812635834871</v>
      </c>
      <c r="D219" s="71" t="n">
        <f aca="false">B219-A219*(1-C219)</f>
        <v>0.072079865085726</v>
      </c>
    </row>
    <row r="220" customFormat="false" ht="15" hidden="false" customHeight="true" outlineLevel="0" collapsed="false">
      <c r="A220" s="70" t="n">
        <v>1.08</v>
      </c>
      <c r="B220" s="71" t="n">
        <f aca="false">_xlfn.NORM.S.DIST(A220,FALSE())</f>
        <v>0.222653498751761</v>
      </c>
      <c r="C220" s="71" t="n">
        <f aca="false">_xlfn.NORM.S.DIST(A220,TRUE())</f>
        <v>0.859928909911231</v>
      </c>
      <c r="D220" s="71" t="n">
        <f aca="false">B220-A220*(1-C220)</f>
        <v>0.0713767214558907</v>
      </c>
    </row>
    <row r="221" customFormat="false" ht="15" hidden="false" customHeight="true" outlineLevel="0" collapsed="false">
      <c r="A221" s="70" t="n">
        <v>1.085</v>
      </c>
      <c r="B221" s="71" t="n">
        <f aca="false">_xlfn.NORM.S.DIST(A221,FALSE())</f>
        <v>0.221451642148247</v>
      </c>
      <c r="C221" s="71" t="n">
        <f aca="false">_xlfn.NORM.S.DIST(A221,TRUE())</f>
        <v>0.861039172366089</v>
      </c>
      <c r="D221" s="71" t="n">
        <f aca="false">B221-A221*(1-C221)</f>
        <v>0.0706791441654537</v>
      </c>
    </row>
    <row r="222" customFormat="false" ht="15" hidden="false" customHeight="true" outlineLevel="0" collapsed="false">
      <c r="A222" s="70" t="n">
        <v>1.09</v>
      </c>
      <c r="B222" s="71" t="n">
        <f aca="false">_xlfn.NORM.S.DIST(A222,FALSE())</f>
        <v>0.220250766683033</v>
      </c>
      <c r="C222" s="71" t="n">
        <f aca="false">_xlfn.NORM.S.DIST(A222,TRUE())</f>
        <v>0.862143427967965</v>
      </c>
      <c r="D222" s="71" t="n">
        <f aca="false">B222-A222*(1-C222)</f>
        <v>0.0699871031681146</v>
      </c>
    </row>
    <row r="223" customFormat="false" ht="15" hidden="false" customHeight="true" outlineLevel="0" collapsed="false">
      <c r="A223" s="70" t="n">
        <v>1.095</v>
      </c>
      <c r="B223" s="71" t="n">
        <f aca="false">_xlfn.NORM.S.DIST(A223,FALSE())</f>
        <v>0.219050926915882</v>
      </c>
      <c r="C223" s="71" t="n">
        <f aca="false">_xlfn.NORM.S.DIST(A223,TRUE())</f>
        <v>0.863241681759104</v>
      </c>
      <c r="D223" s="71" t="n">
        <f aca="false">B223-A223*(1-C223)</f>
        <v>0.0693005684421004</v>
      </c>
    </row>
    <row r="224" customFormat="false" ht="15" hidden="false" customHeight="true" outlineLevel="0" collapsed="false">
      <c r="A224" s="70" t="n">
        <v>1.1</v>
      </c>
      <c r="B224" s="71" t="n">
        <f aca="false">_xlfn.NORM.S.DIST(A224,FALSE())</f>
        <v>0.217852177032551</v>
      </c>
      <c r="C224" s="71" t="n">
        <f aca="false">_xlfn.NORM.S.DIST(A224,TRUE())</f>
        <v>0.864333939053617</v>
      </c>
      <c r="D224" s="71" t="n">
        <f aca="false">B224-A224*(1-C224)</f>
        <v>0.0686195099915296</v>
      </c>
    </row>
    <row r="225" customFormat="false" ht="15" hidden="false" customHeight="true" outlineLevel="0" collapsed="false">
      <c r="A225" s="70" t="n">
        <v>1.105</v>
      </c>
      <c r="B225" s="71" t="n">
        <f aca="false">_xlfn.NORM.S.DIST(A225,FALSE())</f>
        <v>0.216654570841425</v>
      </c>
      <c r="C225" s="71" t="n">
        <f aca="false">_xlfn.NORM.S.DIST(A225,TRUE())</f>
        <v>0.865420205435604</v>
      </c>
      <c r="D225" s="71" t="n">
        <f aca="false">B225-A225*(1-C225)</f>
        <v>0.0679438978477675</v>
      </c>
    </row>
    <row r="226" customFormat="false" ht="15" hidden="false" customHeight="true" outlineLevel="0" collapsed="false">
      <c r="A226" s="70" t="n">
        <v>1.11</v>
      </c>
      <c r="B226" s="71" t="n">
        <f aca="false">_xlfn.NORM.S.DIST(A226,FALSE())</f>
        <v>0.21545816177022</v>
      </c>
      <c r="C226" s="71" t="n">
        <f aca="false">_xlfn.NORM.S.DIST(A226,TRUE())</f>
        <v>0.866500486757253</v>
      </c>
      <c r="D226" s="71" t="n">
        <f aca="false">B226-A226*(1-C226)</f>
        <v>0.0672737020707703</v>
      </c>
    </row>
    <row r="227" customFormat="false" ht="15" hidden="false" customHeight="true" outlineLevel="0" collapsed="false">
      <c r="A227" s="70" t="n">
        <v>1.115</v>
      </c>
      <c r="B227" s="71" t="n">
        <f aca="false">_xlfn.NORM.S.DIST(A227,FALSE())</f>
        <v>0.214263002862741</v>
      </c>
      <c r="C227" s="71" t="n">
        <f aca="false">_xlfn.NORM.S.DIST(A227,TRUE())</f>
        <v>0.867574789136934</v>
      </c>
      <c r="D227" s="71" t="n">
        <f aca="false">B227-A227*(1-C227)</f>
        <v>0.0666088927504221</v>
      </c>
    </row>
    <row r="228" customFormat="false" ht="15" hidden="false" customHeight="true" outlineLevel="0" collapsed="false">
      <c r="A228" s="70" t="n">
        <v>1.12</v>
      </c>
      <c r="B228" s="71" t="n">
        <f aca="false">_xlfn.NORM.S.DIST(A228,FALSE())</f>
        <v>0.213069146775718</v>
      </c>
      <c r="C228" s="71" t="n">
        <f aca="false">_xlfn.NORM.S.DIST(A228,TRUE())</f>
        <v>0.868643118957269</v>
      </c>
      <c r="D228" s="71" t="n">
        <f aca="false">B228-A228*(1-C228)</f>
        <v>0.0659494400078595</v>
      </c>
    </row>
    <row r="229" customFormat="false" ht="15" hidden="false" customHeight="true" outlineLevel="0" collapsed="false">
      <c r="A229" s="70" t="n">
        <v>1.125</v>
      </c>
      <c r="B229" s="71" t="n">
        <f aca="false">_xlfn.NORM.S.DIST(A229,FALSE())</f>
        <v>0.211876645775699</v>
      </c>
      <c r="C229" s="71" t="n">
        <f aca="false">_xlfn.NORM.S.DIST(A229,TRUE())</f>
        <v>0.869705482863191</v>
      </c>
      <c r="D229" s="71" t="n">
        <f aca="false">B229-A229*(1-C229)</f>
        <v>0.0652953139967895</v>
      </c>
    </row>
    <row r="230" customFormat="false" ht="15" hidden="false" customHeight="true" outlineLevel="0" collapsed="false">
      <c r="A230" s="70" t="n">
        <v>1.13</v>
      </c>
      <c r="B230" s="71" t="n">
        <f aca="false">_xlfn.NORM.S.DIST(A230,FALSE())</f>
        <v>0.210685551736015</v>
      </c>
      <c r="C230" s="71" t="n">
        <f aca="false">_xlfn.NORM.S.DIST(A230,TRUE())</f>
        <v>0.870761887759982</v>
      </c>
      <c r="D230" s="71" t="n">
        <f aca="false">B230-A230*(1-C230)</f>
        <v>0.0646464849047952</v>
      </c>
    </row>
    <row r="231" customFormat="false" ht="15" hidden="false" customHeight="true" outlineLevel="0" collapsed="false">
      <c r="A231" s="70" t="n">
        <v>1.135</v>
      </c>
      <c r="B231" s="71" t="n">
        <f aca="false">_xlfn.NORM.S.DIST(A231,FALSE())</f>
        <v>0.209495916133804</v>
      </c>
      <c r="C231" s="71" t="n">
        <f aca="false">_xlfn.NORM.S.DIST(A231,TRUE())</f>
        <v>0.871812340811303</v>
      </c>
      <c r="D231" s="71" t="n">
        <f aca="false">B231-A231*(1-C231)</f>
        <v>0.0640029229546326</v>
      </c>
    </row>
    <row r="232" customFormat="false" ht="15" hidden="false" customHeight="true" outlineLevel="0" collapsed="false">
      <c r="A232" s="70" t="n">
        <v>1.14</v>
      </c>
      <c r="B232" s="71" t="n">
        <f aca="false">_xlfn.NORM.S.DIST(A232,FALSE())</f>
        <v>0.208307790047108</v>
      </c>
      <c r="C232" s="71" t="n">
        <f aca="false">_xlfn.NORM.S.DIST(A232,TRUE())</f>
        <v>0.872856849437202</v>
      </c>
      <c r="D232" s="71" t="n">
        <f aca="false">B232-A232*(1-C232)</f>
        <v>0.0633645984055184</v>
      </c>
    </row>
    <row r="233" customFormat="false" ht="15" hidden="false" customHeight="true" outlineLevel="0" collapsed="false">
      <c r="A233" s="70" t="n">
        <v>1.145</v>
      </c>
      <c r="B233" s="71" t="n">
        <f aca="false">_xlfn.NORM.S.DIST(A233,FALSE())</f>
        <v>0.207121224152033</v>
      </c>
      <c r="C233" s="71" t="n">
        <f aca="false">_xlfn.NORM.S.DIST(A233,TRUE())</f>
        <v>0.873895421312116</v>
      </c>
      <c r="D233" s="71" t="n">
        <f aca="false">B233-A233*(1-C233)</f>
        <v>0.0627314815544056</v>
      </c>
    </row>
    <row r="234" customFormat="false" ht="15" hidden="false" customHeight="true" outlineLevel="0" collapsed="false">
      <c r="A234" s="70" t="n">
        <v>1.15</v>
      </c>
      <c r="B234" s="71" t="n">
        <f aca="false">_xlfn.NORM.S.DIST(A234,FALSE())</f>
        <v>0.205936268719975</v>
      </c>
      <c r="C234" s="71" t="n">
        <f aca="false">_xlfn.NORM.S.DIST(A234,TRUE())</f>
        <v>0.87492806436285</v>
      </c>
      <c r="D234" s="71" t="n">
        <f aca="false">B234-A234*(1-C234)</f>
        <v>0.0621035427372519</v>
      </c>
    </row>
    <row r="235" customFormat="false" ht="15" hidden="false" customHeight="true" outlineLevel="0" collapsed="false">
      <c r="A235" s="70" t="n">
        <v>1.155</v>
      </c>
      <c r="B235" s="71" t="n">
        <f aca="false">_xlfn.NORM.S.DIST(A235,FALSE())</f>
        <v>0.20475297361491</v>
      </c>
      <c r="C235" s="71" t="n">
        <f aca="false">_xlfn.NORM.S.DIST(A235,TRUE())</f>
        <v>0.87595478676655</v>
      </c>
      <c r="D235" s="71" t="n">
        <f aca="false">B235-A235*(1-C235)</f>
        <v>0.0614807523302754</v>
      </c>
    </row>
    <row r="236" customFormat="false" ht="15" hidden="false" customHeight="true" outlineLevel="0" collapsed="false">
      <c r="A236" s="70" t="n">
        <v>1.16</v>
      </c>
      <c r="B236" s="71" t="n">
        <f aca="false">_xlfn.NORM.S.DIST(A236,FALSE())</f>
        <v>0.203571388290759</v>
      </c>
      <c r="C236" s="71" t="n">
        <f aca="false">_xlfn.NORM.S.DIST(A236,TRUE())</f>
        <v>0.876975596948657</v>
      </c>
      <c r="D236" s="71" t="n">
        <f aca="false">B236-A236*(1-C236)</f>
        <v>0.0608630807512011</v>
      </c>
    </row>
    <row r="237" customFormat="false" ht="15" hidden="false" customHeight="true" outlineLevel="0" collapsed="false">
      <c r="A237" s="70" t="n">
        <v>1.165</v>
      </c>
      <c r="B237" s="71" t="n">
        <f aca="false">_xlfn.NORM.S.DIST(A237,FALSE())</f>
        <v>0.202391561788807</v>
      </c>
      <c r="C237" s="71" t="n">
        <f aca="false">_xlfn.NORM.S.DIST(A237,TRUE())</f>
        <v>0.877990503580851</v>
      </c>
      <c r="D237" s="71" t="n">
        <f aca="false">B237-A237*(1-C237)</f>
        <v>0.0602504984604985</v>
      </c>
    </row>
    <row r="238" customFormat="false" ht="15" hidden="false" customHeight="true" outlineLevel="0" collapsed="false">
      <c r="A238" s="70" t="n">
        <v>1.17</v>
      </c>
      <c r="B238" s="71" t="n">
        <f aca="false">_xlfn.NORM.S.DIST(A238,FALSE())</f>
        <v>0.201213542735197</v>
      </c>
      <c r="C238" s="71" t="n">
        <f aca="false">_xlfn.NORM.S.DIST(A238,TRUE())</f>
        <v>0.878999515578982</v>
      </c>
      <c r="D238" s="71" t="n">
        <f aca="false">B238-A238*(1-C238)</f>
        <v>0.0596429759626061</v>
      </c>
    </row>
    <row r="239" customFormat="false" ht="15" hidden="false" customHeight="true" outlineLevel="0" collapsed="false">
      <c r="A239" s="70" t="n">
        <v>1.175</v>
      </c>
      <c r="B239" s="71" t="n">
        <f aca="false">_xlfn.NORM.S.DIST(A239,FALSE())</f>
        <v>0.200037379338488</v>
      </c>
      <c r="C239" s="71" t="n">
        <f aca="false">_xlfn.NORM.S.DIST(A239,TRUE())</f>
        <v>0.880002642100988</v>
      </c>
      <c r="D239" s="71" t="n">
        <f aca="false">B239-A239*(1-C239)</f>
        <v>0.0590404838071481</v>
      </c>
    </row>
    <row r="240" customFormat="false" ht="15" hidden="false" customHeight="true" outlineLevel="0" collapsed="false">
      <c r="A240" s="70" t="n">
        <v>1.18</v>
      </c>
      <c r="B240" s="71" t="n">
        <f aca="false">_xlfn.NORM.S.DIST(A240,FALSE())</f>
        <v>0.198863119387276</v>
      </c>
      <c r="C240" s="71" t="n">
        <f aca="false">_xlfn.NORM.S.DIST(A240,TRUE())</f>
        <v>0.880999892544799</v>
      </c>
      <c r="D240" s="71" t="n">
        <f aca="false">B240-A240*(1-C240)</f>
        <v>0.0584429925901391</v>
      </c>
    </row>
    <row r="241" customFormat="false" ht="15" hidden="false" customHeight="true" outlineLevel="0" collapsed="false">
      <c r="A241" s="70" t="n">
        <v>1.185</v>
      </c>
      <c r="B241" s="71" t="n">
        <f aca="false">_xlfn.NORM.S.DIST(A241,FALSE())</f>
        <v>0.197690810247888</v>
      </c>
      <c r="C241" s="71" t="n">
        <f aca="false">_xlfn.NORM.S.DIST(A241,TRUE())</f>
        <v>0.881991276546237</v>
      </c>
      <c r="D241" s="71" t="n">
        <f aca="false">B241-A241*(1-C241)</f>
        <v>0.057850472955179</v>
      </c>
    </row>
    <row r="242" customFormat="false" ht="15" hidden="false" customHeight="true" outlineLevel="0" collapsed="false">
      <c r="A242" s="70" t="n">
        <v>1.19</v>
      </c>
      <c r="B242" s="71" t="n">
        <f aca="false">_xlfn.NORM.S.DIST(A242,FALSE())</f>
        <v>0.196520498862137</v>
      </c>
      <c r="C242" s="71" t="n">
        <f aca="false">_xlfn.NORM.S.DIST(A242,TRUE())</f>
        <v>0.882976803976891</v>
      </c>
      <c r="D242" s="71" t="n">
        <f aca="false">B242-A242*(1-C242)</f>
        <v>0.0572628955946372</v>
      </c>
    </row>
    <row r="243" customFormat="false" ht="15" hidden="false" customHeight="true" outlineLevel="0" collapsed="false">
      <c r="A243" s="70" t="n">
        <v>1.195</v>
      </c>
      <c r="B243" s="71" t="n">
        <f aca="false">_xlfn.NORM.S.DIST(A243,FALSE())</f>
        <v>0.19535223174514</v>
      </c>
      <c r="C243" s="71" t="n">
        <f aca="false">_xlfn.NORM.S.DIST(A243,TRUE())</f>
        <v>0.883956484941997</v>
      </c>
      <c r="D243" s="71" t="n">
        <f aca="false">B243-A243*(1-C243)</f>
        <v>0.0566802312508259</v>
      </c>
    </row>
    <row r="244" customFormat="false" ht="15" hidden="false" customHeight="true" outlineLevel="0" collapsed="false">
      <c r="A244" s="70" t="n">
        <v>1.2</v>
      </c>
      <c r="B244" s="71" t="n">
        <f aca="false">_xlfn.NORM.S.DIST(A244,FALSE())</f>
        <v>0.194186054983213</v>
      </c>
      <c r="C244" s="71" t="n">
        <f aca="false">_xlfn.NORM.S.DIST(A244,TRUE())</f>
        <v>0.884930329778292</v>
      </c>
      <c r="D244" s="71" t="n">
        <f aca="false">B244-A244*(1-C244)</f>
        <v>0.0561024507171631</v>
      </c>
    </row>
    <row r="245" customFormat="false" ht="15" hidden="false" customHeight="true" outlineLevel="0" collapsed="false">
      <c r="A245" s="70" t="n">
        <v>1.205</v>
      </c>
      <c r="B245" s="71" t="n">
        <f aca="false">_xlfn.NORM.S.DIST(A245,FALSE())</f>
        <v>0.193022014231821</v>
      </c>
      <c r="C245" s="71" t="n">
        <f aca="false">_xlfn.NORM.S.DIST(A245,TRUE())</f>
        <v>0.88589834905187</v>
      </c>
      <c r="D245" s="71" t="n">
        <f aca="false">B245-A245*(1-C245)</f>
        <v>0.0555295248393249</v>
      </c>
    </row>
    <row r="246" customFormat="false" ht="15" hidden="false" customHeight="true" outlineLevel="0" collapsed="false">
      <c r="A246" s="70" t="n">
        <v>1.21</v>
      </c>
      <c r="B246" s="71" t="n">
        <f aca="false">_xlfn.NORM.S.DIST(A246,FALSE())</f>
        <v>0.191860154713599</v>
      </c>
      <c r="C246" s="71" t="n">
        <f aca="false">_xlfn.NORM.S.DIST(A246,TRUE())</f>
        <v>0.886860553556023</v>
      </c>
      <c r="D246" s="71" t="n">
        <f aca="false">B246-A246*(1-C246)</f>
        <v>0.054961424516387</v>
      </c>
    </row>
    <row r="247" customFormat="false" ht="15" hidden="false" customHeight="true" outlineLevel="0" collapsed="false">
      <c r="A247" s="70" t="n">
        <v>1.215</v>
      </c>
      <c r="B247" s="71" t="n">
        <f aca="false">_xlfn.NORM.S.DIST(A247,FALSE())</f>
        <v>0.190700521216439</v>
      </c>
      <c r="C247" s="71" t="n">
        <f aca="false">_xlfn.NORM.S.DIST(A247,TRUE())</f>
        <v>0.887816954309066</v>
      </c>
      <c r="D247" s="71" t="n">
        <f aca="false">B247-A247*(1-C247)</f>
        <v>0.0543981207019543</v>
      </c>
    </row>
    <row r="248" customFormat="false" ht="15" hidden="false" customHeight="true" outlineLevel="0" collapsed="false">
      <c r="A248" s="70" t="n">
        <v>1.22</v>
      </c>
      <c r="B248" s="71" t="n">
        <f aca="false">_xlfn.NORM.S.DIST(A248,FALSE())</f>
        <v>0.18954315809164</v>
      </c>
      <c r="C248" s="71" t="n">
        <f aca="false">_xlfn.NORM.S.DIST(A248,TRUE())</f>
        <v>0.888767562552165</v>
      </c>
      <c r="D248" s="71" t="n">
        <f aca="false">B248-A248*(1-C248)</f>
        <v>0.053839584405282</v>
      </c>
    </row>
    <row r="249" customFormat="false" ht="15" hidden="false" customHeight="true" outlineLevel="0" collapsed="false">
      <c r="A249" s="70" t="n">
        <v>1.225</v>
      </c>
      <c r="B249" s="71" t="n">
        <f aca="false">_xlfn.NORM.S.DIST(A249,FALSE())</f>
        <v>0.188388109252126</v>
      </c>
      <c r="C249" s="71" t="n">
        <f aca="false">_xlfn.NORM.S.DIST(A249,TRUE())</f>
        <v>0.889712389747149</v>
      </c>
      <c r="D249" s="71" t="n">
        <f aca="false">B249-A249*(1-C249)</f>
        <v>0.0532857866923836</v>
      </c>
    </row>
    <row r="250" customFormat="false" ht="15" hidden="false" customHeight="true" outlineLevel="0" collapsed="false">
      <c r="A250" s="70" t="n">
        <v>1.23</v>
      </c>
      <c r="B250" s="71" t="n">
        <f aca="false">_xlfn.NORM.S.DIST(A250,FALSE())</f>
        <v>0.18723541817073</v>
      </c>
      <c r="C250" s="71" t="n">
        <f aca="false">_xlfn.NORM.S.DIST(A250,TRUE())</f>
        <v>0.890651447574308</v>
      </c>
      <c r="D250" s="71" t="n">
        <f aca="false">B250-A250*(1-C250)</f>
        <v>0.0527366986871286</v>
      </c>
    </row>
    <row r="251" customFormat="false" ht="15" hidden="false" customHeight="true" outlineLevel="0" collapsed="false">
      <c r="A251" s="70" t="n">
        <v>1.235</v>
      </c>
      <c r="B251" s="71" t="n">
        <f aca="false">_xlfn.NORM.S.DIST(A251,FALSE())</f>
        <v>0.186085127878537</v>
      </c>
      <c r="C251" s="71" t="n">
        <f aca="false">_xlfn.NORM.S.DIST(A251,TRUE())</f>
        <v>0.891584747930196</v>
      </c>
      <c r="D251" s="71" t="n">
        <f aca="false">B251-A251*(1-C251)</f>
        <v>0.0521922915723293</v>
      </c>
    </row>
    <row r="252" customFormat="false" ht="15" hidden="false" customHeight="true" outlineLevel="0" collapsed="false">
      <c r="A252" s="70" t="n">
        <v>1.24</v>
      </c>
      <c r="B252" s="71" t="n">
        <f aca="false">_xlfn.NORM.S.DIST(A252,FALSE())</f>
        <v>0.184937280963305</v>
      </c>
      <c r="C252" s="71" t="n">
        <f aca="false">_xlfn.NORM.S.DIST(A252,TRUE())</f>
        <v>0.892512302925413</v>
      </c>
      <c r="D252" s="71" t="n">
        <f aca="false">B252-A252*(1-C252)</f>
        <v>0.0516525365908175</v>
      </c>
    </row>
    <row r="253" customFormat="false" ht="15" hidden="false" customHeight="true" outlineLevel="0" collapsed="false">
      <c r="A253" s="70" t="n">
        <v>1.245</v>
      </c>
      <c r="B253" s="71" t="n">
        <f aca="false">_xlfn.NORM.S.DIST(A253,FALSE())</f>
        <v>0.183791919567936</v>
      </c>
      <c r="C253" s="71" t="n">
        <f aca="false">_xlfn.NORM.S.DIST(A253,TRUE())</f>
        <v>0.893434124882387</v>
      </c>
      <c r="D253" s="71" t="n">
        <f aca="false">B253-A253*(1-C253)</f>
        <v>0.051117405046508</v>
      </c>
    </row>
    <row r="254" customFormat="false" ht="15" hidden="false" customHeight="true" outlineLevel="0" collapsed="false">
      <c r="A254" s="70" t="n">
        <v>1.25</v>
      </c>
      <c r="B254" s="71" t="n">
        <f aca="false">_xlfn.NORM.S.DIST(A254,FALSE())</f>
        <v>0.182649085389022</v>
      </c>
      <c r="C254" s="71" t="n">
        <f aca="false">_xlfn.NORM.S.DIST(A254,TRUE())</f>
        <v>0.894350226333145</v>
      </c>
      <c r="D254" s="71" t="n">
        <f aca="false">B254-A254*(1-C254)</f>
        <v>0.0505868683054529</v>
      </c>
    </row>
    <row r="255" customFormat="false" ht="15" hidden="false" customHeight="true" outlineLevel="0" collapsed="false">
      <c r="A255" s="70" t="n">
        <v>1.255</v>
      </c>
      <c r="B255" s="71" t="n">
        <f aca="false">_xlfn.NORM.S.DIST(A255,FALSE())</f>
        <v>0.181508819675451</v>
      </c>
      <c r="C255" s="71" t="n">
        <f aca="false">_xlfn.NORM.S.DIST(A255,TRUE())</f>
        <v>0.895260620017078</v>
      </c>
      <c r="D255" s="71" t="n">
        <f aca="false">B255-A255*(1-C255)</f>
        <v>0.0500608977968833</v>
      </c>
    </row>
    <row r="256" customFormat="false" ht="15" hidden="false" customHeight="true" outlineLevel="0" collapsed="false">
      <c r="A256" s="70" t="n">
        <v>1.26</v>
      </c>
      <c r="B256" s="71" t="n">
        <f aca="false">_xlfn.NORM.S.DIST(A256,FALSE())</f>
        <v>0.18037116322708</v>
      </c>
      <c r="C256" s="71" t="n">
        <f aca="false">_xlfn.NORM.S.DIST(A256,TRUE())</f>
        <v>0.8961653188787</v>
      </c>
      <c r="D256" s="71" t="n">
        <f aca="false">B256-A256*(1-C256)</f>
        <v>0.0495394650142418</v>
      </c>
    </row>
    <row r="257" customFormat="false" ht="15" hidden="false" customHeight="true" outlineLevel="0" collapsed="false">
      <c r="A257" s="70" t="n">
        <v>1.265</v>
      </c>
      <c r="B257" s="71" t="n">
        <f aca="false">_xlfn.NORM.S.DIST(A257,FALSE())</f>
        <v>0.179236156393472</v>
      </c>
      <c r="C257" s="71" t="n">
        <f aca="false">_xlfn.NORM.S.DIST(A257,TRUE())</f>
        <v>0.897064336065398</v>
      </c>
      <c r="D257" s="71" t="n">
        <f aca="false">B257-A257*(1-C257)</f>
        <v>0.0490225415162011</v>
      </c>
    </row>
    <row r="258" customFormat="false" ht="15" hidden="false" customHeight="true" outlineLevel="0" collapsed="false">
      <c r="A258" s="70" t="n">
        <v>1.27</v>
      </c>
      <c r="B258" s="71" t="n">
        <f aca="false">_xlfn.NORM.S.DIST(A258,FALSE())</f>
        <v>0.178103839072694</v>
      </c>
      <c r="C258" s="71" t="n">
        <f aca="false">_xlfn.NORM.S.DIST(A258,TRUE())</f>
        <v>0.897957684925181</v>
      </c>
      <c r="D258" s="71" t="n">
        <f aca="false">B258-A258*(1-C258)</f>
        <v>0.0485100989276733</v>
      </c>
    </row>
    <row r="259" customFormat="false" ht="15" hidden="false" customHeight="true" outlineLevel="0" collapsed="false">
      <c r="A259" s="70" t="n">
        <v>1.275</v>
      </c>
      <c r="B259" s="71" t="n">
        <f aca="false">_xlfn.NORM.S.DIST(A259,FALSE())</f>
        <v>0.17697425071018</v>
      </c>
      <c r="C259" s="71" t="n">
        <f aca="false">_xlfn.NORM.S.DIST(A259,TRUE())</f>
        <v>0.898845379004414</v>
      </c>
      <c r="D259" s="71" t="n">
        <f aca="false">B259-A259*(1-C259)</f>
        <v>0.0480021089408078</v>
      </c>
    </row>
    <row r="260" customFormat="false" ht="15" hidden="false" customHeight="true" outlineLevel="0" collapsed="false">
      <c r="A260" s="70" t="n">
        <v>1.28</v>
      </c>
      <c r="B260" s="71" t="n">
        <f aca="false">_xlfn.NORM.S.DIST(A260,FALSE())</f>
        <v>0.175847430297662</v>
      </c>
      <c r="C260" s="71" t="n">
        <f aca="false">_xlfn.NORM.S.DIST(A260,TRUE())</f>
        <v>0.899727432045558</v>
      </c>
      <c r="D260" s="71" t="n">
        <f aca="false">B260-A260*(1-C260)</f>
        <v>0.0474985433159765</v>
      </c>
    </row>
    <row r="261" customFormat="false" ht="15" hidden="false" customHeight="true" outlineLevel="0" collapsed="false">
      <c r="A261" s="70" t="n">
        <v>1.285</v>
      </c>
      <c r="B261" s="71" t="n">
        <f aca="false">_xlfn.NORM.S.DIST(A261,FALSE())</f>
        <v>0.17472341637216</v>
      </c>
      <c r="C261" s="71" t="n">
        <f aca="false">_xlfn.NORM.S.DIST(A261,TRUE())</f>
        <v>0.900603857984894</v>
      </c>
      <c r="D261" s="71" t="n">
        <f aca="false">B261-A261*(1-C261)</f>
        <v>0.0469993738827496</v>
      </c>
    </row>
    <row r="262" customFormat="false" ht="15" hidden="false" customHeight="true" outlineLevel="0" collapsed="false">
      <c r="A262" s="70" t="n">
        <v>1.29</v>
      </c>
      <c r="B262" s="71" t="n">
        <f aca="false">_xlfn.NORM.S.DIST(A262,FALSE())</f>
        <v>0.173602247015033</v>
      </c>
      <c r="C262" s="71" t="n">
        <f aca="false">_xlfn.NORM.S.DIST(A262,TRUE())</f>
        <v>0.901474670950252</v>
      </c>
      <c r="D262" s="71" t="n">
        <f aca="false">B262-A262*(1-C262)</f>
        <v>0.0465045725408582</v>
      </c>
    </row>
    <row r="263" customFormat="false" ht="15" hidden="false" customHeight="true" outlineLevel="0" collapsed="false">
      <c r="A263" s="70" t="n">
        <v>1.295</v>
      </c>
      <c r="B263" s="71" t="n">
        <f aca="false">_xlfn.NORM.S.DIST(A263,FALSE())</f>
        <v>0.172483959851098</v>
      </c>
      <c r="C263" s="71" t="n">
        <f aca="false">_xlfn.NORM.S.DIST(A263,TRUE())</f>
        <v>0.902339885258725</v>
      </c>
      <c r="D263" s="71" t="n">
        <f aca="false">B263-A263*(1-C263)</f>
        <v>0.0460141112611469</v>
      </c>
    </row>
    <row r="264" customFormat="false" ht="15" hidden="false" customHeight="true" outlineLevel="0" collapsed="false">
      <c r="A264" s="70" t="n">
        <v>1.3</v>
      </c>
      <c r="B264" s="71" t="n">
        <f aca="false">_xlfn.NORM.S.DIST(A264,FALSE())</f>
        <v>0.171368592047807</v>
      </c>
      <c r="C264" s="71" t="n">
        <f aca="false">_xlfn.NORM.S.DIST(A264,TRUE())</f>
        <v>0.90319951541439</v>
      </c>
      <c r="D264" s="71" t="n">
        <f aca="false">B264-A264*(1-C264)</f>
        <v>0.045527962086514</v>
      </c>
    </row>
    <row r="265" customFormat="false" ht="15" hidden="false" customHeight="true" outlineLevel="0" collapsed="false">
      <c r="A265" s="70" t="n">
        <v>1.305</v>
      </c>
      <c r="B265" s="71" t="n">
        <f aca="false">_xlfn.NORM.S.DIST(A265,FALSE())</f>
        <v>0.170256180314495</v>
      </c>
      <c r="C265" s="71" t="n">
        <f aca="false">_xlfn.NORM.S.DIST(A265,TRUE())</f>
        <v>0.904053576106012</v>
      </c>
      <c r="D265" s="71" t="n">
        <f aca="false">B265-A265*(1-C265)</f>
        <v>0.0450460971328407</v>
      </c>
    </row>
    <row r="266" customFormat="false" ht="15" hidden="false" customHeight="true" outlineLevel="0" collapsed="false">
      <c r="A266" s="70" t="n">
        <v>1.31</v>
      </c>
      <c r="B266" s="71" t="n">
        <f aca="false">_xlfn.NORM.S.DIST(A266,FALSE())</f>
        <v>0.169146760901672</v>
      </c>
      <c r="C266" s="71" t="n">
        <f aca="false">_xlfn.NORM.S.DIST(A266,TRUE())</f>
        <v>0.904902082204761</v>
      </c>
      <c r="D266" s="71" t="n">
        <f aca="false">B266-A266*(1-C266)</f>
        <v>0.0445684885899093</v>
      </c>
    </row>
    <row r="267" customFormat="false" ht="15" hidden="false" customHeight="true" outlineLevel="0" collapsed="false">
      <c r="A267" s="70" t="n">
        <v>1.315</v>
      </c>
      <c r="B267" s="71" t="n">
        <f aca="false">_xlfn.NORM.S.DIST(A267,FALSE())</f>
        <v>0.168040369600401</v>
      </c>
      <c r="C267" s="71" t="n">
        <f aca="false">_xlfn.NORM.S.DIST(A267,TRUE())</f>
        <v>0.905745048761907</v>
      </c>
      <c r="D267" s="71" t="n">
        <f aca="false">B267-A267*(1-C267)</f>
        <v>0.0440951087223091</v>
      </c>
    </row>
    <row r="268" customFormat="false" ht="15" hidden="false" customHeight="true" outlineLevel="0" collapsed="false">
      <c r="A268" s="70" t="n">
        <v>1.32</v>
      </c>
      <c r="B268" s="71" t="n">
        <f aca="false">_xlfn.NORM.S.DIST(A268,FALSE())</f>
        <v>0.166937041741714</v>
      </c>
      <c r="C268" s="71" t="n">
        <f aca="false">_xlfn.NORM.S.DIST(A268,TRUE())</f>
        <v>0.906582491006528</v>
      </c>
      <c r="D268" s="71" t="n">
        <f aca="false">B268-A268*(1-C268)</f>
        <v>0.0436259298703311</v>
      </c>
    </row>
    <row r="269" customFormat="false" ht="15" hidden="false" customHeight="true" outlineLevel="0" collapsed="false">
      <c r="A269" s="70" t="n">
        <v>1.325</v>
      </c>
      <c r="B269" s="71" t="n">
        <f aca="false">_xlfn.NORM.S.DIST(A269,FALSE())</f>
        <v>0.165836812196105</v>
      </c>
      <c r="C269" s="71" t="n">
        <f aca="false">_xlfn.NORM.S.DIST(A269,TRUE())</f>
        <v>0.907414424343205</v>
      </c>
      <c r="D269" s="71" t="n">
        <f aca="false">B269-A269*(1-C269)</f>
        <v>0.0431609244508514</v>
      </c>
    </row>
    <row r="270" customFormat="false" ht="15" hidden="false" customHeight="true" outlineLevel="0" collapsed="false">
      <c r="A270" s="70" t="n">
        <v>1.33</v>
      </c>
      <c r="B270" s="71" t="n">
        <f aca="false">_xlfn.NORM.S.DIST(A270,FALSE())</f>
        <v>0.164739715373077</v>
      </c>
      <c r="C270" s="71" t="n">
        <f aca="false">_xlfn.NORM.S.DIST(A270,TRUE())</f>
        <v>0.908240864349719</v>
      </c>
      <c r="D270" s="71" t="n">
        <f aca="false">B270-A270*(1-C270)</f>
        <v>0.0427000649582034</v>
      </c>
    </row>
    <row r="271" customFormat="false" ht="15" hidden="false" customHeight="true" outlineLevel="0" collapsed="false">
      <c r="A271" s="70" t="n">
        <v>1.335</v>
      </c>
      <c r="B271" s="71" t="n">
        <f aca="false">_xlfn.NORM.S.DIST(A271,FALSE())</f>
        <v>0.163645785220751</v>
      </c>
      <c r="C271" s="71" t="n">
        <f aca="false">_xlfn.NORM.S.DIST(A271,TRUE())</f>
        <v>0.909061826774746</v>
      </c>
      <c r="D271" s="71" t="n">
        <f aca="false">B271-A271*(1-C271)</f>
        <v>0.0422433239650368</v>
      </c>
    </row>
    <row r="272" customFormat="false" ht="15" hidden="false" customHeight="true" outlineLevel="0" collapsed="false">
      <c r="A272" s="70" t="n">
        <v>1.34</v>
      </c>
      <c r="B272" s="71" t="n">
        <f aca="false">_xlfn.NORM.S.DIST(A272,FALSE())</f>
        <v>0.162555055225534</v>
      </c>
      <c r="C272" s="71" t="n">
        <f aca="false">_xlfn.NORM.S.DIST(A272,TRUE())</f>
        <v>0.909877327535548</v>
      </c>
      <c r="D272" s="71" t="n">
        <f aca="false">B272-A272*(1-C272)</f>
        <v>0.0417906741231679</v>
      </c>
    </row>
    <row r="273" customFormat="false" ht="15" hidden="false" customHeight="true" outlineLevel="0" collapsed="false">
      <c r="A273" s="70" t="n">
        <v>1.345</v>
      </c>
      <c r="B273" s="71" t="n">
        <f aca="false">_xlfn.NORM.S.DIST(A273,FALSE())</f>
        <v>0.161467558411849</v>
      </c>
      <c r="C273" s="71" t="n">
        <f aca="false">_xlfn.NORM.S.DIST(A273,TRUE())</f>
        <v>0.910687382715663</v>
      </c>
      <c r="D273" s="71" t="n">
        <f aca="false">B273-A273*(1-C273)</f>
        <v>0.0413420881644155</v>
      </c>
    </row>
    <row r="274" customFormat="false" ht="15" hidden="false" customHeight="true" outlineLevel="0" collapsed="false">
      <c r="A274" s="70" t="n">
        <v>1.35</v>
      </c>
      <c r="B274" s="71" t="n">
        <f aca="false">_xlfn.NORM.S.DIST(A274,FALSE())</f>
        <v>0.16038332734192</v>
      </c>
      <c r="C274" s="71" t="n">
        <f aca="false">_xlfn.NORM.S.DIST(A274,TRUE())</f>
        <v>0.911492008562598</v>
      </c>
      <c r="D274" s="71" t="n">
        <f aca="false">B274-A274*(1-C274)</f>
        <v>0.0408975389014268</v>
      </c>
    </row>
    <row r="275" customFormat="false" ht="15" hidden="false" customHeight="true" outlineLevel="0" collapsed="false">
      <c r="A275" s="70" t="n">
        <v>1.355</v>
      </c>
      <c r="B275" s="71" t="n">
        <f aca="false">_xlfn.NORM.S.DIST(A275,FALSE())</f>
        <v>0.159302394115621</v>
      </c>
      <c r="C275" s="71" t="n">
        <f aca="false">_xlfn.NORM.S.DIST(A275,TRUE())</f>
        <v>0.912291221485514</v>
      </c>
      <c r="D275" s="71" t="n">
        <f aca="false">B275-A275*(1-C275)</f>
        <v>0.0404569992284925</v>
      </c>
    </row>
    <row r="276" customFormat="false" ht="15" hidden="false" customHeight="true" outlineLevel="0" collapsed="false">
      <c r="A276" s="70" t="n">
        <v>1.36</v>
      </c>
      <c r="B276" s="71" t="n">
        <f aca="false">_xlfn.NORM.S.DIST(A276,FALSE())</f>
        <v>0.158224790370383</v>
      </c>
      <c r="C276" s="71" t="n">
        <f aca="false">_xlfn.NORM.S.DIST(A276,TRUE())</f>
        <v>0.913085038052915</v>
      </c>
      <c r="D276" s="71" t="n">
        <f aca="false">B276-A276*(1-C276)</f>
        <v>0.0400204421223474</v>
      </c>
    </row>
    <row r="277" customFormat="false" ht="15" hidden="false" customHeight="true" outlineLevel="0" collapsed="false">
      <c r="A277" s="70" t="n">
        <v>1.365</v>
      </c>
      <c r="B277" s="71" t="n">
        <f aca="false">_xlfn.NORM.S.DIST(A277,FALSE())</f>
        <v>0.157150547281153</v>
      </c>
      <c r="C277" s="71" t="n">
        <f aca="false">_xlfn.NORM.S.DIST(A277,TRUE())</f>
        <v>0.913873474990337</v>
      </c>
      <c r="D277" s="71" t="n">
        <f aca="false">B277-A277*(1-C277)</f>
        <v>0.0395878406429631</v>
      </c>
    </row>
    <row r="278" customFormat="false" ht="15" hidden="false" customHeight="true" outlineLevel="0" collapsed="false">
      <c r="A278" s="70" t="n">
        <v>1.37</v>
      </c>
      <c r="B278" s="71" t="n">
        <f aca="false">_xlfn.NORM.S.DIST(A278,FALSE())</f>
        <v>0.156079695560421</v>
      </c>
      <c r="C278" s="71" t="n">
        <f aca="false">_xlfn.NORM.S.DIST(A278,TRUE())</f>
        <v>0.914656549178033</v>
      </c>
      <c r="D278" s="71" t="n">
        <f aca="false">B278-A278*(1-C278)</f>
        <v>0.0391591679343261</v>
      </c>
    </row>
    <row r="279" customFormat="false" ht="15" hidden="false" customHeight="true" outlineLevel="0" collapsed="false">
      <c r="A279" s="70" t="n">
        <v>1.375</v>
      </c>
      <c r="B279" s="71" t="n">
        <f aca="false">_xlfn.NORM.S.DIST(A279,FALSE())</f>
        <v>0.155012265458293</v>
      </c>
      <c r="C279" s="71" t="n">
        <f aca="false">_xlfn.NORM.S.DIST(A279,TRUE())</f>
        <v>0.915434277648664</v>
      </c>
      <c r="D279" s="71" t="n">
        <f aca="false">B279-A279*(1-C279)</f>
        <v>0.0387343972252067</v>
      </c>
    </row>
    <row r="280" customFormat="false" ht="15" hidden="false" customHeight="true" outlineLevel="0" collapsed="false">
      <c r="A280" s="70" t="n">
        <v>1.38</v>
      </c>
      <c r="B280" s="71" t="n">
        <f aca="false">_xlfn.NORM.S.DIST(A280,FALSE())</f>
        <v>0.153948286762634</v>
      </c>
      <c r="C280" s="71" t="n">
        <f aca="false">_xlfn.NORM.S.DIST(A280,TRUE())</f>
        <v>0.916206677584986</v>
      </c>
      <c r="D280" s="71" t="n">
        <f aca="false">B280-A280*(1-C280)</f>
        <v>0.0383135018299141</v>
      </c>
    </row>
    <row r="281" customFormat="false" ht="15" hidden="false" customHeight="true" outlineLevel="0" collapsed="false">
      <c r="A281" s="70" t="n">
        <v>1.385</v>
      </c>
      <c r="B281" s="71" t="n">
        <f aca="false">_xlfn.NORM.S.DIST(A281,FALSE())</f>
        <v>0.152887788799254</v>
      </c>
      <c r="C281" s="71" t="n">
        <f aca="false">_xlfn.NORM.S.DIST(A281,TRUE())</f>
        <v>0.916973766317537</v>
      </c>
      <c r="D281" s="71" t="n">
        <f aca="false">B281-A281*(1-C281)</f>
        <v>0.0378964551490422</v>
      </c>
    </row>
    <row r="282" customFormat="false" ht="15" hidden="false" customHeight="true" outlineLevel="0" collapsed="false">
      <c r="A282" s="70" t="n">
        <v>1.39</v>
      </c>
      <c r="B282" s="71" t="n">
        <f aca="false">_xlfn.NORM.S.DIST(A282,FALSE())</f>
        <v>0.151830800432162</v>
      </c>
      <c r="C282" s="71" t="n">
        <f aca="false">_xlfn.NORM.S.DIST(A282,TRUE())</f>
        <v>0.917735561322331</v>
      </c>
      <c r="D282" s="71" t="n">
        <f aca="false">B282-A282*(1-C282)</f>
        <v>0.0374832306702018</v>
      </c>
    </row>
    <row r="283" customFormat="false" ht="15" hidden="false" customHeight="true" outlineLevel="0" collapsed="false">
      <c r="A283" s="70" t="n">
        <v>1.395</v>
      </c>
      <c r="B283" s="71" t="n">
        <f aca="false">_xlfn.NORM.S.DIST(A283,FALSE())</f>
        <v>0.150777350063868</v>
      </c>
      <c r="C283" s="71" t="n">
        <f aca="false">_xlfn.NORM.S.DIST(A283,TRUE())</f>
        <v>0.918492080218549</v>
      </c>
      <c r="D283" s="71" t="n">
        <f aca="false">B283-A283*(1-C283)</f>
        <v>0.0370738019687433</v>
      </c>
    </row>
    <row r="284" customFormat="false" ht="15" hidden="false" customHeight="true" outlineLevel="0" collapsed="false">
      <c r="A284" s="70" t="n">
        <v>1.4</v>
      </c>
      <c r="B284" s="71" t="n">
        <f aca="false">_xlfn.NORM.S.DIST(A284,FALSE())</f>
        <v>0.149727465635745</v>
      </c>
      <c r="C284" s="71" t="n">
        <f aca="false">_xlfn.NORM.S.DIST(A284,TRUE())</f>
        <v>0.919243340766229</v>
      </c>
      <c r="D284" s="71" t="n">
        <f aca="false">B284-A284*(1-C284)</f>
        <v>0.0366681427084656</v>
      </c>
    </row>
    <row r="285" customFormat="false" ht="15" hidden="false" customHeight="true" outlineLevel="0" collapsed="false">
      <c r="A285" s="70" t="n">
        <v>1.405</v>
      </c>
      <c r="B285" s="71" t="n">
        <f aca="false">_xlfn.NORM.S.DIST(A285,FALSE())</f>
        <v>0.148681174628442</v>
      </c>
      <c r="C285" s="71" t="n">
        <f aca="false">_xlfn.NORM.S.DIST(A285,TRUE())</f>
        <v>0.919989360863966</v>
      </c>
      <c r="D285" s="71" t="n">
        <f aca="false">B285-A285*(1-C285)</f>
        <v>0.0362662266423149</v>
      </c>
    </row>
    <row r="286" customFormat="false" ht="15" hidden="false" customHeight="true" outlineLevel="0" collapsed="false">
      <c r="A286" s="70" t="n">
        <v>1.41</v>
      </c>
      <c r="B286" s="71" t="n">
        <f aca="false">_xlfn.NORM.S.DIST(A286,FALSE())</f>
        <v>0.147638504062356</v>
      </c>
      <c r="C286" s="71" t="n">
        <f aca="false">_xlfn.NORM.S.DIST(A286,TRUE())</f>
        <v>0.920730158546608</v>
      </c>
      <c r="D286" s="71" t="n">
        <f aca="false">B286-A286*(1-C286)</f>
        <v>0.0358680276130726</v>
      </c>
    </row>
    <row r="287" customFormat="false" ht="15" hidden="false" customHeight="true" outlineLevel="0" collapsed="false">
      <c r="A287" s="70" t="n">
        <v>1.415</v>
      </c>
      <c r="B287" s="71" t="n">
        <f aca="false">_xlfn.NORM.S.DIST(A287,FALSE())</f>
        <v>0.146599480498153</v>
      </c>
      <c r="C287" s="71" t="n">
        <f aca="false">_xlfn.NORM.S.DIST(A287,TRUE())</f>
        <v>0.921465751982952</v>
      </c>
      <c r="D287" s="71" t="n">
        <f aca="false">B287-A287*(1-C287)</f>
        <v>0.0354735195540297</v>
      </c>
    </row>
    <row r="288" customFormat="false" ht="15" hidden="false" customHeight="true" outlineLevel="0" collapsed="false">
      <c r="A288" s="70" t="n">
        <v>1.42</v>
      </c>
      <c r="B288" s="71" t="n">
        <f aca="false">_xlfn.NORM.S.DIST(A288,FALSE())</f>
        <v>0.145564130037348</v>
      </c>
      <c r="C288" s="71" t="n">
        <f aca="false">_xlfn.NORM.S.DIST(A288,TRUE())</f>
        <v>0.922196159473454</v>
      </c>
      <c r="D288" s="71" t="n">
        <f aca="false">B288-A288*(1-C288)</f>
        <v>0.0350826764896517</v>
      </c>
    </row>
    <row r="289" customFormat="false" ht="15" hidden="false" customHeight="true" outlineLevel="0" collapsed="false">
      <c r="A289" s="70" t="n">
        <v>1.425</v>
      </c>
      <c r="B289" s="71" t="n">
        <f aca="false">_xlfn.NORM.S.DIST(A289,FALSE())</f>
        <v>0.144532478322933</v>
      </c>
      <c r="C289" s="71" t="n">
        <f aca="false">_xlfn.NORM.S.DIST(A289,TRUE())</f>
        <v>0.922921399447928</v>
      </c>
      <c r="D289" s="71" t="n">
        <f aca="false">B289-A289*(1-C289)</f>
        <v>0.0346954725362305</v>
      </c>
    </row>
    <row r="290" customFormat="false" ht="15" hidden="false" customHeight="true" outlineLevel="0" collapsed="false">
      <c r="A290" s="70" t="n">
        <v>1.43</v>
      </c>
      <c r="B290" s="71" t="n">
        <f aca="false">_xlfn.NORM.S.DIST(A290,FALSE())</f>
        <v>0.143504550540062</v>
      </c>
      <c r="C290" s="71" t="n">
        <f aca="false">_xlfn.NORM.S.DIST(A290,TRUE())</f>
        <v>0.923641490463261</v>
      </c>
      <c r="D290" s="71" t="n">
        <f aca="false">B290-A290*(1-C290)</f>
        <v>0.0343118819025254</v>
      </c>
    </row>
    <row r="291" customFormat="false" ht="15" hidden="false" customHeight="true" outlineLevel="0" collapsed="false">
      <c r="A291" s="70" t="n">
        <v>1.435</v>
      </c>
      <c r="B291" s="71" t="n">
        <f aca="false">_xlfn.NORM.S.DIST(A291,FALSE())</f>
        <v>0.142480371416787</v>
      </c>
      <c r="C291" s="71" t="n">
        <f aca="false">_xlfn.NORM.S.DIST(A291,TRUE())</f>
        <v>0.92435645120112</v>
      </c>
      <c r="D291" s="71" t="n">
        <f aca="false">B291-A291*(1-C291)</f>
        <v>0.0339318788903938</v>
      </c>
    </row>
    <row r="292" customFormat="false" ht="15" hidden="false" customHeight="true" outlineLevel="0" collapsed="false">
      <c r="A292" s="70" t="n">
        <v>1.44</v>
      </c>
      <c r="B292" s="71" t="n">
        <f aca="false">_xlfn.NORM.S.DIST(A292,FALSE())</f>
        <v>0.141459965224839</v>
      </c>
      <c r="C292" s="71" t="n">
        <f aca="false">_xlfn.NORM.S.DIST(A292,TRUE())</f>
        <v>0.925066300465673</v>
      </c>
      <c r="D292" s="71" t="n">
        <f aca="false">B292-A292*(1-C292)</f>
        <v>0.0335554378954079</v>
      </c>
    </row>
    <row r="293" customFormat="false" ht="15" hidden="false" customHeight="true" outlineLevel="0" collapsed="false">
      <c r="A293" s="70" t="n">
        <v>1.445</v>
      </c>
      <c r="B293" s="71" t="n">
        <f aca="false">_xlfn.NORM.S.DIST(A293,FALSE())</f>
        <v>0.140443355780475</v>
      </c>
      <c r="C293" s="71" t="n">
        <f aca="false">_xlfn.NORM.S.DIST(A293,TRUE())</f>
        <v>0.925771057181306</v>
      </c>
      <c r="D293" s="71" t="n">
        <f aca="false">B293-A293*(1-C293)</f>
        <v>0.0331825334074624</v>
      </c>
    </row>
    <row r="294" customFormat="false" ht="15" hidden="false" customHeight="true" outlineLevel="0" collapsed="false">
      <c r="A294" s="70" t="n">
        <v>1.45</v>
      </c>
      <c r="B294" s="71" t="n">
        <f aca="false">_xlfn.NORM.S.DIST(A294,FALSE())</f>
        <v>0.13943056644536</v>
      </c>
      <c r="C294" s="71" t="n">
        <f aca="false">_xlfn.NORM.S.DIST(A294,TRUE())</f>
        <v>0.926470740390352</v>
      </c>
      <c r="D294" s="71" t="n">
        <f aca="false">B294-A294*(1-C294)</f>
        <v>0.0328131400113701</v>
      </c>
    </row>
    <row r="295" customFormat="false" ht="15" hidden="false" customHeight="true" outlineLevel="0" collapsed="false">
      <c r="A295" s="70" t="n">
        <v>1.455</v>
      </c>
      <c r="B295" s="71" t="n">
        <f aca="false">_xlfn.NORM.S.DIST(A295,FALSE())</f>
        <v>0.138421620127511</v>
      </c>
      <c r="C295" s="71" t="n">
        <f aca="false">_xlfn.NORM.S.DIST(A295,TRUE())</f>
        <v>0.927165369250814</v>
      </c>
      <c r="D295" s="71" t="n">
        <f aca="false">B295-A295*(1-C295)</f>
        <v>0.0324472323874454</v>
      </c>
    </row>
    <row r="296" customFormat="false" ht="15" hidden="false" customHeight="true" outlineLevel="0" collapsed="false">
      <c r="A296" s="70" t="n">
        <v>1.46</v>
      </c>
      <c r="B296" s="71" t="n">
        <f aca="false">_xlfn.NORM.S.DIST(A296,FALSE())</f>
        <v>0.137416539282282</v>
      </c>
      <c r="C296" s="71" t="n">
        <f aca="false">_xlfn.NORM.S.DIST(A296,TRUE())</f>
        <v>0.927854963034106</v>
      </c>
      <c r="D296" s="71" t="n">
        <f aca="false">B296-A296*(1-C296)</f>
        <v>0.0320847853120768</v>
      </c>
    </row>
    <row r="297" customFormat="false" ht="15" hidden="false" customHeight="true" outlineLevel="0" collapsed="false">
      <c r="A297" s="70" t="n">
        <v>1.465</v>
      </c>
      <c r="B297" s="71" t="n">
        <f aca="false">_xlfn.NORM.S.DIST(A297,FALSE())</f>
        <v>0.136415345913403</v>
      </c>
      <c r="C297" s="71" t="n">
        <f aca="false">_xlfn.NORM.S.DIST(A297,TRUE())</f>
        <v>0.928539541122789</v>
      </c>
      <c r="D297" s="71" t="n">
        <f aca="false">B297-A297*(1-C297)</f>
        <v>0.0317257736582894</v>
      </c>
    </row>
    <row r="298" customFormat="false" ht="15" hidden="false" customHeight="true" outlineLevel="0" collapsed="false">
      <c r="A298" s="70" t="n">
        <v>1.47</v>
      </c>
      <c r="B298" s="71" t="n">
        <f aca="false">_xlfn.NORM.S.DIST(A298,FALSE())</f>
        <v>0.135418061574071</v>
      </c>
      <c r="C298" s="71" t="n">
        <f aca="false">_xlfn.NORM.S.DIST(A298,TRUE())</f>
        <v>0.929219123008314</v>
      </c>
      <c r="D298" s="71" t="n">
        <f aca="false">B298-A298*(1-C298)</f>
        <v>0.0313701723962935</v>
      </c>
    </row>
    <row r="299" customFormat="false" ht="15" hidden="false" customHeight="true" outlineLevel="0" collapsed="false">
      <c r="A299" s="70" t="n">
        <v>1.475</v>
      </c>
      <c r="B299" s="71" t="n">
        <f aca="false">_xlfn.NORM.S.DIST(A299,FALSE())</f>
        <v>0.134424707368079</v>
      </c>
      <c r="C299" s="71" t="n">
        <f aca="false">_xlfn.NORM.S.DIST(A299,TRUE())</f>
        <v>0.929893728288777</v>
      </c>
      <c r="D299" s="71" t="n">
        <f aca="false">B299-A299*(1-C299)</f>
        <v>0.031017956594025</v>
      </c>
    </row>
    <row r="300" customFormat="false" ht="15" hidden="false" customHeight="true" outlineLevel="0" collapsed="false">
      <c r="A300" s="70" t="n">
        <v>1.48</v>
      </c>
      <c r="B300" s="71" t="n">
        <f aca="false">_xlfn.NORM.S.DIST(A300,FALSE())</f>
        <v>0.133435303951002</v>
      </c>
      <c r="C300" s="71" t="n">
        <f aca="false">_xlfn.NORM.S.DIST(A300,TRUE())</f>
        <v>0.930563376666668</v>
      </c>
      <c r="D300" s="71" t="n">
        <f aca="false">B300-A300*(1-C300)</f>
        <v>0.0306691014176715</v>
      </c>
    </row>
    <row r="301" customFormat="false" ht="15" hidden="false" customHeight="true" outlineLevel="0" collapsed="false">
      <c r="A301" s="70" t="n">
        <v>1.485</v>
      </c>
      <c r="B301" s="71" t="n">
        <f aca="false">_xlfn.NORM.S.DIST(A301,FALSE())</f>
        <v>0.132449871531428</v>
      </c>
      <c r="C301" s="71" t="n">
        <f aca="false">_xlfn.NORM.S.DIST(A301,TRUE())</f>
        <v>0.931228087946641</v>
      </c>
      <c r="D301" s="71" t="n">
        <f aca="false">B301-A301*(1-C301)</f>
        <v>0.0303235821321895</v>
      </c>
    </row>
    <row r="302" customFormat="false" ht="15" hidden="false" customHeight="true" outlineLevel="0" collapsed="false">
      <c r="A302" s="70" t="n">
        <v>1.49</v>
      </c>
      <c r="B302" s="71" t="n">
        <f aca="false">_xlfn.NORM.S.DIST(A302,FALSE())</f>
        <v>0.131468429872231</v>
      </c>
      <c r="C302" s="71" t="n">
        <f aca="false">_xlfn.NORM.S.DIST(A302,TRUE())</f>
        <v>0.931887882033275</v>
      </c>
      <c r="D302" s="71" t="n">
        <f aca="false">B302-A302*(1-C302)</f>
        <v>0.0299813741018102</v>
      </c>
    </row>
    <row r="303" customFormat="false" ht="15" hidden="false" customHeight="true" outlineLevel="0" collapsed="false">
      <c r="A303" s="70" t="n">
        <v>1.495</v>
      </c>
      <c r="B303" s="71" t="n">
        <f aca="false">_xlfn.NORM.S.DIST(A303,FALSE())</f>
        <v>0.130490998291897</v>
      </c>
      <c r="C303" s="71" t="n">
        <f aca="false">_xlfn.NORM.S.DIST(A303,TRUE())</f>
        <v>0.932542778928853</v>
      </c>
      <c r="D303" s="71" t="n">
        <f aca="false">B303-A303*(1-C303)</f>
        <v>0.0296424527905319</v>
      </c>
    </row>
    <row r="304" customFormat="false" ht="15" hidden="false" customHeight="true" outlineLevel="0" collapsed="false">
      <c r="A304" s="70" t="n">
        <v>1.5</v>
      </c>
      <c r="B304" s="71" t="n">
        <f aca="false">_xlfn.NORM.S.DIST(A304,FALSE())</f>
        <v>0.129517595665892</v>
      </c>
      <c r="C304" s="71" t="n">
        <f aca="false">_xlfn.NORM.S.DIST(A304,TRUE())</f>
        <v>0.933192798731142</v>
      </c>
      <c r="D304" s="71" t="n">
        <f aca="false">B304-A304*(1-C304)</f>
        <v>0.0293067937626046</v>
      </c>
    </row>
    <row r="305" customFormat="false" ht="15" hidden="false" customHeight="true" outlineLevel="0" collapsed="false">
      <c r="A305" s="70" t="n">
        <v>1.505</v>
      </c>
      <c r="B305" s="71" t="n">
        <f aca="false">_xlfn.NORM.S.DIST(A305,FALSE())</f>
        <v>0.128548240428071</v>
      </c>
      <c r="C305" s="71" t="n">
        <f aca="false">_xlfn.NORM.S.DIST(A305,TRUE())</f>
        <v>0.933837961631183</v>
      </c>
      <c r="D305" s="71" t="n">
        <f aca="false">B305-A305*(1-C305)</f>
        <v>0.0289743726830012</v>
      </c>
    </row>
    <row r="306" customFormat="false" ht="15" hidden="false" customHeight="true" outlineLevel="0" collapsed="false">
      <c r="A306" s="70" t="n">
        <v>1.51</v>
      </c>
      <c r="B306" s="71" t="n">
        <f aca="false">_xlfn.NORM.S.DIST(A306,FALSE())</f>
        <v>0.127582950572142</v>
      </c>
      <c r="C306" s="71" t="n">
        <f aca="false">_xlfn.NORM.S.DIST(A306,TRUE())</f>
        <v>0.934478287911084</v>
      </c>
      <c r="D306" s="71" t="n">
        <f aca="false">B306-A306*(1-C306)</f>
        <v>0.028645165317878</v>
      </c>
    </row>
    <row r="307" customFormat="false" ht="15" hidden="false" customHeight="true" outlineLevel="0" collapsed="false">
      <c r="A307" s="70" t="n">
        <v>1.515</v>
      </c>
      <c r="B307" s="71" t="n">
        <f aca="false">_xlfn.NORM.S.DIST(A307,FALSE())</f>
        <v>0.126621743653163</v>
      </c>
      <c r="C307" s="71" t="n">
        <f aca="false">_xlfn.NORM.S.DIST(A307,TRUE())</f>
        <v>0.935113797941824</v>
      </c>
      <c r="D307" s="71" t="n">
        <f aca="false">B307-A307*(1-C307)</f>
        <v>0.0283191475350253</v>
      </c>
    </row>
    <row r="308" customFormat="false" ht="15" hidden="false" customHeight="true" outlineLevel="0" collapsed="false">
      <c r="A308" s="70" t="n">
        <v>1.52</v>
      </c>
      <c r="B308" s="71" t="n">
        <f aca="false">_xlfn.NORM.S.DIST(A308,FALSE())</f>
        <v>0.125664636789088</v>
      </c>
      <c r="C308" s="71" t="n">
        <f aca="false">_xlfn.NORM.S.DIST(A308,TRUE())</f>
        <v>0.935744512181064</v>
      </c>
      <c r="D308" s="71" t="n">
        <f aca="false">B308-A308*(1-C308)</f>
        <v>0.0279962953043056</v>
      </c>
    </row>
    <row r="309" customFormat="false" ht="15" hidden="false" customHeight="true" outlineLevel="0" collapsed="false">
      <c r="A309" s="70" t="n">
        <v>1.525</v>
      </c>
      <c r="B309" s="71" t="n">
        <f aca="false">_xlfn.NORM.S.DIST(A309,FALSE())</f>
        <v>0.124711646662357</v>
      </c>
      <c r="C309" s="71" t="n">
        <f aca="false">_xlfn.NORM.S.DIST(A309,TRUE())</f>
        <v>0.936370451170967</v>
      </c>
      <c r="D309" s="71" t="n">
        <f aca="false">B309-A309*(1-C309)</f>
        <v>0.0276765846980825</v>
      </c>
    </row>
    <row r="310" customFormat="false" ht="15" hidden="false" customHeight="true" outlineLevel="0" collapsed="false">
      <c r="A310" s="70" t="n">
        <v>1.53</v>
      </c>
      <c r="B310" s="71" t="n">
        <f aca="false">_xlfn.NORM.S.DIST(A310,FALSE())</f>
        <v>0.123762789521523</v>
      </c>
      <c r="C310" s="71" t="n">
        <f aca="false">_xlfn.NORM.S.DIST(A310,TRUE())</f>
        <v>0.936991635536022</v>
      </c>
      <c r="D310" s="71" t="n">
        <f aca="false">B310-A310*(1-C310)</f>
        <v>0.027359991891636</v>
      </c>
    </row>
    <row r="311" customFormat="false" ht="15" hidden="false" customHeight="true" outlineLevel="0" collapsed="false">
      <c r="A311" s="70" t="n">
        <v>1.535</v>
      </c>
      <c r="B311" s="71" t="n">
        <f aca="false">_xlfn.NORM.S.DIST(A311,FALSE())</f>
        <v>0.122818081182925</v>
      </c>
      <c r="C311" s="71" t="n">
        <f aca="false">_xlfn.NORM.S.DIST(A311,TRUE())</f>
        <v>0.937608085980877</v>
      </c>
      <c r="D311" s="71" t="n">
        <f aca="false">B311-A311*(1-C311)</f>
        <v>0.0270464931635713</v>
      </c>
    </row>
    <row r="312" customFormat="false" ht="15" hidden="false" customHeight="true" outlineLevel="0" collapsed="false">
      <c r="A312" s="70" t="n">
        <v>1.54</v>
      </c>
      <c r="B312" s="71" t="n">
        <f aca="false">_xlfn.NORM.S.DIST(A312,FALSE())</f>
        <v>0.121877537032402</v>
      </c>
      <c r="C312" s="71" t="n">
        <f aca="false">_xlfn.NORM.S.DIST(A312,TRUE())</f>
        <v>0.938219823288188</v>
      </c>
      <c r="D312" s="71" t="n">
        <f aca="false">B312-A312*(1-C312)</f>
        <v>0.0267360648962114</v>
      </c>
    </row>
    <row r="313" customFormat="false" ht="15" hidden="false" customHeight="true" outlineLevel="0" collapsed="false">
      <c r="A313" s="70" t="n">
        <v>1.545</v>
      </c>
      <c r="B313" s="71" t="n">
        <f aca="false">_xlfn.NORM.S.DIST(A313,FALSE())</f>
        <v>0.120941172027043</v>
      </c>
      <c r="C313" s="71" t="n">
        <f aca="false">_xlfn.NORM.S.DIST(A313,TRUE())</f>
        <v>0.938826868316467</v>
      </c>
      <c r="D313" s="71" t="n">
        <f aca="false">B313-A313*(1-C313)</f>
        <v>0.026428683575984</v>
      </c>
    </row>
    <row r="314" customFormat="false" ht="15" hidden="false" customHeight="true" outlineLevel="0" collapsed="false">
      <c r="A314" s="70" t="n">
        <v>1.55</v>
      </c>
      <c r="B314" s="71" t="n">
        <f aca="false">_xlfn.NORM.S.DIST(A314,FALSE())</f>
        <v>0.120009000696986</v>
      </c>
      <c r="C314" s="71" t="n">
        <f aca="false">_xlfn.NORM.S.DIST(A314,TRUE())</f>
        <v>0.939429241997941</v>
      </c>
      <c r="D314" s="71" t="n">
        <f aca="false">B314-A314*(1-C314)</f>
        <v>0.0261243257937941</v>
      </c>
    </row>
    <row r="315" customFormat="false" ht="15" hidden="false" customHeight="true" outlineLevel="0" collapsed="false">
      <c r="A315" s="70" t="n">
        <v>1.555</v>
      </c>
      <c r="B315" s="71" t="n">
        <f aca="false">_xlfn.NORM.S.DIST(A315,FALSE())</f>
        <v>0.119081037147244</v>
      </c>
      <c r="C315" s="71" t="n">
        <f aca="false">_xlfn.NORM.S.DIST(A315,TRUE())</f>
        <v>0.940026965336427</v>
      </c>
      <c r="D315" s="71" t="n">
        <f aca="false">B315-A315*(1-C315)</f>
        <v>0.025822968245388</v>
      </c>
    </row>
    <row r="316" customFormat="false" ht="15" hidden="false" customHeight="true" outlineLevel="0" collapsed="false">
      <c r="A316" s="70" t="n">
        <v>1.56</v>
      </c>
      <c r="B316" s="71" t="n">
        <f aca="false">_xlfn.NORM.S.DIST(A316,FALSE())</f>
        <v>0.118157295059582</v>
      </c>
      <c r="C316" s="71" t="n">
        <f aca="false">_xlfn.NORM.S.DIST(A316,TRUE())</f>
        <v>0.940620059405207</v>
      </c>
      <c r="D316" s="71" t="n">
        <f aca="false">B316-A316*(1-C316)</f>
        <v>0.0255245877317052</v>
      </c>
    </row>
    <row r="317" customFormat="false" ht="15" hidden="false" customHeight="true" outlineLevel="0" collapsed="false">
      <c r="A317" s="70" t="n">
        <v>1.565</v>
      </c>
      <c r="B317" s="71" t="n">
        <f aca="false">_xlfn.NORM.S.DIST(A317,FALSE())</f>
        <v>0.117237787694426</v>
      </c>
      <c r="C317" s="71" t="n">
        <f aca="false">_xlfn.NORM.S.DIST(A317,TRUE())</f>
        <v>0.941208545344917</v>
      </c>
      <c r="D317" s="71" t="n">
        <f aca="false">B317-A317*(1-C317)</f>
        <v>0.0252291611592212</v>
      </c>
    </row>
    <row r="318" customFormat="false" ht="15" hidden="false" customHeight="true" outlineLevel="0" collapsed="false">
      <c r="A318" s="70" t="n">
        <v>1.57</v>
      </c>
      <c r="B318" s="71" t="n">
        <f aca="false">_xlfn.NORM.S.DIST(A318,FALSE())</f>
        <v>0.116322527892807</v>
      </c>
      <c r="C318" s="71" t="n">
        <f aca="false">_xlfn.NORM.S.DIST(A318,TRUE())</f>
        <v>0.941792444361447</v>
      </c>
      <c r="D318" s="71" t="n">
        <f aca="false">B318-A318*(1-C318)</f>
        <v>0.0249366655402788</v>
      </c>
    </row>
    <row r="319" customFormat="false" ht="15" hidden="false" customHeight="true" outlineLevel="0" collapsed="false">
      <c r="A319" s="70" t="n">
        <v>1.575</v>
      </c>
      <c r="B319" s="71" t="n">
        <f aca="false">_xlfn.NORM.S.DIST(A319,FALSE())</f>
        <v>0.11541152807835</v>
      </c>
      <c r="C319" s="71" t="n">
        <f aca="false">_xlfn.NORM.S.DIST(A319,TRUE())</f>
        <v>0.942371777723847</v>
      </c>
      <c r="D319" s="71" t="n">
        <f aca="false">B319-A319*(1-C319)</f>
        <v>0.0246470779934088</v>
      </c>
    </row>
    <row r="320" customFormat="false" ht="15" hidden="false" customHeight="true" outlineLevel="0" collapsed="false">
      <c r="A320" s="70" t="n">
        <v>1.58</v>
      </c>
      <c r="B320" s="71" t="n">
        <f aca="false">_xlfn.NORM.S.DIST(A320,FALSE())</f>
        <v>0.114504800259292</v>
      </c>
      <c r="C320" s="71" t="n">
        <f aca="false">_xlfn.NORM.S.DIST(A320,TRUE())</f>
        <v>0.942946566762246</v>
      </c>
      <c r="D320" s="71" t="n">
        <f aca="false">B320-A320*(1-C320)</f>
        <v>0.0243603757436408</v>
      </c>
    </row>
    <row r="321" customFormat="false" ht="15" hidden="false" customHeight="true" outlineLevel="0" collapsed="false">
      <c r="A321" s="70" t="n">
        <v>1.585</v>
      </c>
      <c r="B321" s="71" t="n">
        <f aca="false">_xlfn.NORM.S.DIST(A321,FALSE())</f>
        <v>0.113602356030542</v>
      </c>
      <c r="C321" s="71" t="n">
        <f aca="false">_xlfn.NORM.S.DIST(A321,TRUE())</f>
        <v>0.94351683286578</v>
      </c>
      <c r="D321" s="71" t="n">
        <f aca="false">B321-A321*(1-C321)</f>
        <v>0.0240765361228033</v>
      </c>
    </row>
    <row r="322" customFormat="false" ht="15" hidden="false" customHeight="true" outlineLevel="0" collapsed="false">
      <c r="A322" s="70" t="n">
        <v>1.59</v>
      </c>
      <c r="B322" s="71" t="n">
        <f aca="false">_xlfn.NORM.S.DIST(A322,FALSE())</f>
        <v>0.112704206575771</v>
      </c>
      <c r="C322" s="71" t="n">
        <f aca="false">_xlfn.NORM.S.DIST(A322,TRUE())</f>
        <v>0.944082597480531</v>
      </c>
      <c r="D322" s="71" t="n">
        <f aca="false">B322-A322*(1-C322)</f>
        <v>0.0237955365698142</v>
      </c>
    </row>
    <row r="323" customFormat="false" ht="15" hidden="false" customHeight="true" outlineLevel="0" collapsed="false">
      <c r="A323" s="70" t="n">
        <v>1.595</v>
      </c>
      <c r="B323" s="71" t="n">
        <f aca="false">_xlfn.NORM.S.DIST(A323,FALSE())</f>
        <v>0.111810362669538</v>
      </c>
      <c r="C323" s="71" t="n">
        <f aca="false">_xlfn.NORM.S.DIST(A323,TRUE())</f>
        <v>0.944643882107474</v>
      </c>
      <c r="D323" s="71" t="n">
        <f aca="false">B323-A323*(1-C323)</f>
        <v>0.0235173546309593</v>
      </c>
    </row>
    <row r="324" customFormat="false" ht="15" hidden="false" customHeight="true" outlineLevel="0" collapsed="false">
      <c r="A324" s="70" t="n">
        <v>1.6</v>
      </c>
      <c r="B324" s="71" t="n">
        <f aca="false">_xlfn.NORM.S.DIST(A324,FALSE())</f>
        <v>0.110920834679456</v>
      </c>
      <c r="C324" s="71" t="n">
        <f aca="false">_xlfn.NORM.S.DIST(A324,TRUE())</f>
        <v>0.945200708300442</v>
      </c>
      <c r="D324" s="71" t="n">
        <f aca="false">B324-A324*(1-C324)</f>
        <v>0.0232419679601627</v>
      </c>
    </row>
    <row r="325" customFormat="false" ht="15" hidden="false" customHeight="true" outlineLevel="0" collapsed="false">
      <c r="A325" s="70" t="n">
        <v>1.605</v>
      </c>
      <c r="B325" s="71" t="n">
        <f aca="false">_xlfn.NORM.S.DIST(A325,FALSE())</f>
        <v>0.110035632568382</v>
      </c>
      <c r="C325" s="71" t="n">
        <f aca="false">_xlfn.NORM.S.DIST(A325,TRUE())</f>
        <v>0.94575309766409</v>
      </c>
      <c r="D325" s="71" t="n">
        <f aca="false">B325-A325*(1-C325)</f>
        <v>0.0229693543192456</v>
      </c>
    </row>
    <row r="326" customFormat="false" ht="15" hidden="false" customHeight="true" outlineLevel="0" collapsed="false">
      <c r="A326" s="70" t="n">
        <v>1.61</v>
      </c>
      <c r="B326" s="71" t="n">
        <f aca="false">_xlfn.NORM.S.DIST(A326,FALSE())</f>
        <v>0.109154765896647</v>
      </c>
      <c r="C326" s="71" t="n">
        <f aca="false">_xlfn.NORM.S.DIST(A326,TRUE())</f>
        <v>0.94630107185188</v>
      </c>
      <c r="D326" s="71" t="n">
        <f aca="false">B326-A326*(1-C326)</f>
        <v>0.0226994915781746</v>
      </c>
    </row>
    <row r="327" customFormat="false" ht="15" hidden="false" customHeight="true" outlineLevel="0" collapsed="false">
      <c r="A327" s="70" t="n">
        <v>1.615</v>
      </c>
      <c r="B327" s="71" t="n">
        <f aca="false">_xlfn.NORM.S.DIST(A327,FALSE())</f>
        <v>0.108278243824318</v>
      </c>
      <c r="C327" s="71" t="n">
        <f aca="false">_xlfn.NORM.S.DIST(A327,TRUE())</f>
        <v>0.946844652564077</v>
      </c>
      <c r="D327" s="71" t="n">
        <f aca="false">B327-A327*(1-C327)</f>
        <v>0.0224323577153025</v>
      </c>
    </row>
    <row r="328" customFormat="false" ht="15" hidden="false" customHeight="true" outlineLevel="0" collapsed="false">
      <c r="A328" s="70" t="n">
        <v>1.62</v>
      </c>
      <c r="B328" s="71" t="n">
        <f aca="false">_xlfn.NORM.S.DIST(A328,FALSE())</f>
        <v>0.107406075113484</v>
      </c>
      <c r="C328" s="71" t="n">
        <f aca="false">_xlfn.NORM.S.DIST(A328,TRUE())</f>
        <v>0.947383861545748</v>
      </c>
      <c r="D328" s="71" t="n">
        <f aca="false">B328-A328*(1-C328)</f>
        <v>0.0221679308175955</v>
      </c>
    </row>
    <row r="329" customFormat="false" ht="15" hidden="false" customHeight="true" outlineLevel="0" collapsed="false">
      <c r="A329" s="70" t="n">
        <v>1.625</v>
      </c>
      <c r="B329" s="71" t="n">
        <f aca="false">_xlfn.NORM.S.DIST(A329,FALSE())</f>
        <v>0.106538268130585</v>
      </c>
      <c r="C329" s="71" t="n">
        <f aca="false">_xlfn.NORM.S.DIST(A329,TRUE())</f>
        <v>0.947918720584781</v>
      </c>
      <c r="D329" s="71" t="n">
        <f aca="false">B329-A329*(1-C329)</f>
        <v>0.0219061890808535</v>
      </c>
    </row>
    <row r="330" customFormat="false" ht="15" hidden="false" customHeight="true" outlineLevel="0" collapsed="false">
      <c r="A330" s="70" t="n">
        <v>1.63</v>
      </c>
      <c r="B330" s="71" t="n">
        <f aca="false">_xlfn.NORM.S.DIST(A330,FALSE())</f>
        <v>0.105674830848764</v>
      </c>
      <c r="C330" s="71" t="n">
        <f aca="false">_xlfn.NORM.S.DIST(A330,TRUE())</f>
        <v>0.948449251509911</v>
      </c>
      <c r="D330" s="71" t="n">
        <f aca="false">B330-A330*(1-C330)</f>
        <v>0.021647110809918</v>
      </c>
    </row>
    <row r="331" customFormat="false" ht="15" hidden="false" customHeight="true" outlineLevel="0" collapsed="false">
      <c r="A331" s="70" t="n">
        <v>1.635</v>
      </c>
      <c r="B331" s="71" t="n">
        <f aca="false">_xlfn.NORM.S.DIST(A331,FALSE())</f>
        <v>0.104815770850248</v>
      </c>
      <c r="C331" s="71" t="n">
        <f aca="false">_xlfn.NORM.S.DIST(A331,TRUE())</f>
        <v>0.948975476188762</v>
      </c>
      <c r="D331" s="71" t="n">
        <f aca="false">B331-A331*(1-C331)</f>
        <v>0.0213906744188733</v>
      </c>
    </row>
    <row r="332" customFormat="false" ht="15" hidden="false" customHeight="true" outlineLevel="0" collapsed="false">
      <c r="A332" s="70" t="n">
        <v>1.64</v>
      </c>
      <c r="B332" s="71" t="n">
        <f aca="false">_xlfn.NORM.S.DIST(A332,FALSE())</f>
        <v>0.103961095328764</v>
      </c>
      <c r="C332" s="71" t="n">
        <f aca="false">_xlfn.NORM.S.DIST(A332,TRUE())</f>
        <v>0.949497416525896</v>
      </c>
      <c r="D332" s="71" t="n">
        <f aca="false">B332-A332*(1-C332)</f>
        <v>0.0211368584312341</v>
      </c>
    </row>
    <row r="333" customFormat="false" ht="15" hidden="false" customHeight="true" outlineLevel="0" collapsed="false">
      <c r="A333" s="70" t="n">
        <v>1.645</v>
      </c>
      <c r="B333" s="71" t="n">
        <f aca="false">_xlfn.NORM.S.DIST(A333,FALSE())</f>
        <v>0.103110811091981</v>
      </c>
      <c r="C333" s="71" t="n">
        <f aca="false">_xlfn.NORM.S.DIST(A333,TRUE())</f>
        <v>0.950015094460879</v>
      </c>
      <c r="D333" s="71" t="n">
        <f aca="false">B333-A333*(1-C333)</f>
        <v>0.0208856414801267</v>
      </c>
    </row>
    <row r="334" customFormat="false" ht="15" hidden="false" customHeight="true" outlineLevel="0" collapsed="false">
      <c r="A334" s="70" t="n">
        <v>1.65</v>
      </c>
      <c r="B334" s="71" t="n">
        <f aca="false">_xlfn.NORM.S.DIST(A334,FALSE())</f>
        <v>0.102264924563978</v>
      </c>
      <c r="C334" s="71" t="n">
        <f aca="false">_xlfn.NORM.S.DIST(A334,TRUE())</f>
        <v>0.950528531966352</v>
      </c>
      <c r="D334" s="71" t="n">
        <f aca="false">B334-A334*(1-C334)</f>
        <v>0.0206370023084587</v>
      </c>
    </row>
    <row r="335" customFormat="false" ht="15" hidden="false" customHeight="true" outlineLevel="0" collapsed="false">
      <c r="A335" s="70" t="n">
        <v>1.655</v>
      </c>
      <c r="B335" s="71" t="n">
        <f aca="false">_xlfn.NORM.S.DIST(A335,FALSE())</f>
        <v>0.101423441787741</v>
      </c>
      <c r="C335" s="71" t="n">
        <f aca="false">_xlfn.NORM.S.DIST(A335,TRUE())</f>
        <v>0.951037751046126</v>
      </c>
      <c r="D335" s="71" t="n">
        <f aca="false">B335-A335*(1-C335)</f>
        <v>0.020390919769079</v>
      </c>
    </row>
    <row r="336" customFormat="false" ht="15" hidden="false" customHeight="true" outlineLevel="0" collapsed="false">
      <c r="A336" s="70" t="n">
        <v>1.66</v>
      </c>
      <c r="B336" s="71" t="n">
        <f aca="false">_xlfn.NORM.S.DIST(A336,FALSE())</f>
        <v>0.100586368427691</v>
      </c>
      <c r="C336" s="71" t="n">
        <f aca="false">_xlfn.NORM.S.DIST(A336,TRUE())</f>
        <v>0.951542773733277</v>
      </c>
      <c r="D336" s="71" t="n">
        <f aca="false">B336-A336*(1-C336)</f>
        <v>0.0201473728249306</v>
      </c>
    </row>
    <row r="337" customFormat="false" ht="15" hidden="false" customHeight="true" outlineLevel="0" collapsed="false">
      <c r="A337" s="70" t="n">
        <v>1.665</v>
      </c>
      <c r="B337" s="71" t="n">
        <f aca="false">_xlfn.NORM.S.DIST(A337,FALSE())</f>
        <v>0.0997537097722301</v>
      </c>
      <c r="C337" s="71" t="n">
        <f aca="false">_xlfn.NORM.S.DIST(A337,TRUE())</f>
        <v>0.952043622088264</v>
      </c>
      <c r="D337" s="71" t="n">
        <f aca="false">B337-A337*(1-C337)</f>
        <v>0.0199063405491904</v>
      </c>
    </row>
    <row r="338" customFormat="false" ht="15" hidden="false" customHeight="true" outlineLevel="0" collapsed="false">
      <c r="A338" s="70" t="n">
        <v>1.67</v>
      </c>
      <c r="B338" s="71" t="n">
        <f aca="false">_xlfn.NORM.S.DIST(A338,FALSE())</f>
        <v>0.0989254707363237</v>
      </c>
      <c r="C338" s="71" t="n">
        <f aca="false">_xlfn.NORM.S.DIST(A338,TRUE())</f>
        <v>0.952540318197053</v>
      </c>
      <c r="D338" s="71" t="n">
        <f aca="false">B338-A338*(1-C338)</f>
        <v>0.0196678021254017</v>
      </c>
    </row>
    <row r="339" customFormat="false" ht="15" hidden="false" customHeight="true" outlineLevel="0" collapsed="false">
      <c r="A339" s="70" t="n">
        <v>1.675</v>
      </c>
      <c r="B339" s="71" t="n">
        <f aca="false">_xlfn.NORM.S.DIST(A339,FALSE())</f>
        <v>0.0981016558640978</v>
      </c>
      <c r="C339" s="71" t="n">
        <f aca="false">_xlfn.NORM.S.DIST(A339,TRUE())</f>
        <v>0.953032884169254</v>
      </c>
      <c r="D339" s="71" t="n">
        <f aca="false">B339-A339*(1-C339)</f>
        <v>0.0194317368475985</v>
      </c>
    </row>
    <row r="340" customFormat="false" ht="15" hidden="false" customHeight="true" outlineLevel="0" collapsed="false">
      <c r="A340" s="70" t="n">
        <v>1.68</v>
      </c>
      <c r="B340" s="71" t="n">
        <f aca="false">_xlfn.NORM.S.DIST(A340,FALSE())</f>
        <v>0.0972822693314675</v>
      </c>
      <c r="C340" s="71" t="n">
        <f aca="false">_xlfn.NORM.S.DIST(A340,TRUE())</f>
        <v>0.95352134213628</v>
      </c>
      <c r="D340" s="71" t="n">
        <f aca="false">B340-A340*(1-C340)</f>
        <v>0.0191981241204178</v>
      </c>
    </row>
    <row r="341" customFormat="false" ht="15" hidden="false" customHeight="true" outlineLevel="0" collapsed="false">
      <c r="A341" s="70" t="n">
        <v>1.685</v>
      </c>
      <c r="B341" s="71" t="n">
        <f aca="false">_xlfn.NORM.S.DIST(A341,FALSE())</f>
        <v>0.0964673149487871</v>
      </c>
      <c r="C341" s="71" t="n">
        <f aca="false">_xlfn.NORM.S.DIST(A341,TRUE())</f>
        <v>0.954005714249506</v>
      </c>
      <c r="D341" s="71" t="n">
        <f aca="false">B341-A341*(1-C341)</f>
        <v>0.0189669434592041</v>
      </c>
    </row>
    <row r="342" customFormat="false" ht="15" hidden="false" customHeight="true" outlineLevel="0" collapsed="false">
      <c r="A342" s="70" t="n">
        <v>1.69</v>
      </c>
      <c r="B342" s="71" t="n">
        <f aca="false">_xlfn.NORM.S.DIST(A342,FALSE())</f>
        <v>0.095656796163524</v>
      </c>
      <c r="C342" s="71" t="n">
        <f aca="false">_xlfn.NORM.S.DIST(A342,TRUE())</f>
        <v>0.95448602267845</v>
      </c>
      <c r="D342" s="71" t="n">
        <f aca="false">B342-A342*(1-C342)</f>
        <v>0.0187381744901048</v>
      </c>
    </row>
    <row r="343" customFormat="false" ht="15" hidden="false" customHeight="true" outlineLevel="0" collapsed="false">
      <c r="A343" s="70" t="n">
        <v>1.695</v>
      </c>
      <c r="B343" s="71" t="n">
        <f aca="false">_xlfn.NORM.S.DIST(A343,FALSE())</f>
        <v>0.0948507160629554</v>
      </c>
      <c r="C343" s="71" t="n">
        <f aca="false">_xlfn.NORM.S.DIST(A343,TRUE())</f>
        <v>0.954962289608969</v>
      </c>
      <c r="D343" s="71" t="n">
        <f aca="false">B343-A343*(1-C343)</f>
        <v>0.0185117969501571</v>
      </c>
    </row>
    <row r="344" customFormat="false" ht="15" hidden="false" customHeight="true" outlineLevel="0" collapsed="false">
      <c r="A344" s="70" t="n">
        <v>1.7</v>
      </c>
      <c r="B344" s="71" t="n">
        <f aca="false">_xlfn.NORM.S.DIST(A344,FALSE())</f>
        <v>0.094049077376887</v>
      </c>
      <c r="C344" s="71" t="n">
        <f aca="false">_xlfn.NORM.S.DIST(A344,TRUE())</f>
        <v>0.955434537241457</v>
      </c>
      <c r="D344" s="71" t="n">
        <f aca="false">B344-A344*(1-C344)</f>
        <v>0.0182877906873638</v>
      </c>
    </row>
    <row r="345" customFormat="false" ht="15" hidden="false" customHeight="true" outlineLevel="0" collapsed="false">
      <c r="A345" s="70" t="n">
        <v>1.705</v>
      </c>
      <c r="B345" s="71" t="n">
        <f aca="false">_xlfn.NORM.S.DIST(A345,FALSE())</f>
        <v>0.0932518824803935</v>
      </c>
      <c r="C345" s="71" t="n">
        <f aca="false">_xlfn.NORM.S.DIST(A345,TRUE())</f>
        <v>0.955902787789073</v>
      </c>
      <c r="D345" s="71" t="n">
        <f aca="false">B345-A345*(1-C345)</f>
        <v>0.0180661356607628</v>
      </c>
    </row>
    <row r="346" customFormat="false" ht="15" hidden="false" customHeight="true" outlineLevel="0" collapsed="false">
      <c r="A346" s="70" t="n">
        <v>1.71</v>
      </c>
      <c r="B346" s="71" t="n">
        <f aca="false">_xlfn.NORM.S.DIST(A346,FALSE())</f>
        <v>0.0924591333965807</v>
      </c>
      <c r="C346" s="71" t="n">
        <f aca="false">_xlfn.NORM.S.DIST(A346,TRUE())</f>
        <v>0.956367063475968</v>
      </c>
      <c r="D346" s="71" t="n">
        <f aca="false">B346-A346*(1-C346)</f>
        <v>0.0178468119404862</v>
      </c>
    </row>
    <row r="347" customFormat="false" ht="15" hidden="false" customHeight="true" outlineLevel="0" collapsed="false">
      <c r="A347" s="70" t="n">
        <v>1.715</v>
      </c>
      <c r="B347" s="71" t="n">
        <f aca="false">_xlfn.NORM.S.DIST(A347,FALSE())</f>
        <v>0.0916708317993663</v>
      </c>
      <c r="C347" s="71" t="n">
        <f aca="false">_xlfn.NORM.S.DIST(A347,TRUE())</f>
        <v>0.956827386535536</v>
      </c>
      <c r="D347" s="71" t="n">
        <f aca="false">B347-A347*(1-C347)</f>
        <v>0.01762979970781</v>
      </c>
    </row>
    <row r="348" customFormat="false" ht="15" hidden="false" customHeight="true" outlineLevel="0" collapsed="false">
      <c r="A348" s="70" t="n">
        <v>1.72</v>
      </c>
      <c r="B348" s="71" t="n">
        <f aca="false">_xlfn.NORM.S.DIST(A348,FALSE())</f>
        <v>0.0908869790162829</v>
      </c>
      <c r="C348" s="71" t="n">
        <f aca="false">_xlfn.NORM.S.DIST(A348,TRUE())</f>
        <v>0.957283779208671</v>
      </c>
      <c r="D348" s="71" t="n">
        <f aca="false">B348-A348*(1-C348)</f>
        <v>0.017415079255197</v>
      </c>
    </row>
    <row r="349" customFormat="false" ht="15" hidden="false" customHeight="true" outlineLevel="0" collapsed="false">
      <c r="A349" s="70" t="n">
        <v>1.725</v>
      </c>
      <c r="B349" s="71" t="n">
        <f aca="false">_xlfn.NORM.S.DIST(A349,FALSE())</f>
        <v>0.0901075760312981</v>
      </c>
      <c r="C349" s="71" t="n">
        <f aca="false">_xlfn.NORM.S.DIST(A349,TRUE())</f>
        <v>0.957736263742048</v>
      </c>
      <c r="D349" s="71" t="n">
        <f aca="false">B349-A349*(1-C349)</f>
        <v>0.0172026309863302</v>
      </c>
    </row>
    <row r="350" customFormat="false" ht="15" hidden="false" customHeight="true" outlineLevel="0" collapsed="false">
      <c r="A350" s="70" t="n">
        <v>1.73</v>
      </c>
      <c r="B350" s="71" t="n">
        <f aca="false">_xlfn.NORM.S.DIST(A350,FALSE())</f>
        <v>0.089332623487655</v>
      </c>
      <c r="C350" s="71" t="n">
        <f aca="false">_xlfn.NORM.S.DIST(A350,TRUE())</f>
        <v>0.958184862386405</v>
      </c>
      <c r="D350" s="71" t="n">
        <f aca="false">B350-A350*(1-C350)</f>
        <v>0.0169924354161358</v>
      </c>
    </row>
    <row r="351" customFormat="false" ht="15" hidden="false" customHeight="true" outlineLevel="0" collapsed="false">
      <c r="A351" s="70" t="n">
        <v>1.735</v>
      </c>
      <c r="B351" s="71" t="n">
        <f aca="false">_xlfn.NORM.S.DIST(A351,FALSE())</f>
        <v>0.0885621216907294</v>
      </c>
      <c r="C351" s="71" t="n">
        <f aca="false">_xlfn.NORM.S.DIST(A351,TRUE())</f>
        <v>0.958629597394854</v>
      </c>
      <c r="D351" s="71" t="n">
        <f aca="false">B351-A351*(1-C351)</f>
        <v>0.0167844731708011</v>
      </c>
    </row>
    <row r="352" customFormat="false" ht="15" hidden="false" customHeight="true" outlineLevel="0" collapsed="false">
      <c r="A352" s="70" t="n">
        <v>1.74</v>
      </c>
      <c r="B352" s="71" t="n">
        <f aca="false">_xlfn.NORM.S.DIST(A352,FALSE())</f>
        <v>0.0877960706109056</v>
      </c>
      <c r="C352" s="71" t="n">
        <f aca="false">_xlfn.NORM.S.DIST(A352,TRUE())</f>
        <v>0.959070491021193</v>
      </c>
      <c r="D352" s="71" t="n">
        <f aca="false">B352-A352*(1-C352)</f>
        <v>0.0165787249877809</v>
      </c>
    </row>
    <row r="353" customFormat="false" ht="15" hidden="false" customHeight="true" outlineLevel="0" collapsed="false">
      <c r="A353" s="70" t="n">
        <v>1.745</v>
      </c>
      <c r="B353" s="71" t="n">
        <f aca="false">_xlfn.NORM.S.DIST(A353,FALSE())</f>
        <v>0.0870344698864683</v>
      </c>
      <c r="C353" s="71" t="n">
        <f aca="false">_xlfn.NORM.S.DIST(A353,TRUE())</f>
        <v>0.95950756551824</v>
      </c>
      <c r="D353" s="71" t="n">
        <f aca="false">B353-A353*(1-C353)</f>
        <v>0.0163751717157975</v>
      </c>
    </row>
    <row r="354" customFormat="false" ht="15" hidden="false" customHeight="true" outlineLevel="0" collapsed="false">
      <c r="A354" s="70" t="n">
        <v>1.75</v>
      </c>
      <c r="B354" s="71" t="n">
        <f aca="false">_xlfn.NORM.S.DIST(A354,FALSE())</f>
        <v>0.0862773188265115</v>
      </c>
      <c r="C354" s="71" t="n">
        <f aca="false">_xlfn.NORM.S.DIST(A354,TRUE())</f>
        <v>0.959940843136183</v>
      </c>
      <c r="D354" s="71" t="n">
        <f aca="false">B354-A354*(1-C354)</f>
        <v>0.0161737943148316</v>
      </c>
    </row>
    <row r="355" customFormat="false" ht="15" hidden="false" customHeight="true" outlineLevel="0" collapsed="false">
      <c r="A355" s="70" t="n">
        <v>1.755</v>
      </c>
      <c r="B355" s="71" t="n">
        <f aca="false">_xlfn.NORM.S.DIST(A355,FALSE())</f>
        <v>0.0855246164138626</v>
      </c>
      <c r="C355" s="71" t="n">
        <f aca="false">_xlfn.NORM.S.DIST(A355,TRUE())</f>
        <v>0.960370346120935</v>
      </c>
      <c r="D355" s="71" t="n">
        <f aca="false">B355-A355*(1-C355)</f>
        <v>0.0159745738561043</v>
      </c>
    </row>
    <row r="356" customFormat="false" ht="15" hidden="false" customHeight="true" outlineLevel="0" collapsed="false">
      <c r="A356" s="70" t="n">
        <v>1.76</v>
      </c>
      <c r="B356" s="71" t="n">
        <f aca="false">_xlfn.NORM.S.DIST(A356,FALSE())</f>
        <v>0.0847763613080222</v>
      </c>
      <c r="C356" s="71" t="n">
        <f aca="false">_xlfn.NORM.S.DIST(A356,TRUE())</f>
        <v>0.960796096712517</v>
      </c>
      <c r="D356" s="71" t="n">
        <f aca="false">B356-A356*(1-C356)</f>
        <v>0.0157774915220527</v>
      </c>
    </row>
    <row r="357" customFormat="false" ht="15" hidden="false" customHeight="true" outlineLevel="0" collapsed="false">
      <c r="A357" s="70" t="n">
        <v>1.765</v>
      </c>
      <c r="B357" s="71" t="n">
        <f aca="false">_xlfn.NORM.S.DIST(A357,FALSE())</f>
        <v>0.0840325518481184</v>
      </c>
      <c r="C357" s="71" t="n">
        <f aca="false">_xlfn.NORM.S.DIST(A357,TRUE())</f>
        <v>0.961218117143443</v>
      </c>
      <c r="D357" s="71" t="n">
        <f aca="false">B357-A357*(1-C357)</f>
        <v>0.0155825286062958</v>
      </c>
    </row>
    <row r="358" customFormat="false" ht="15" hidden="false" customHeight="true" outlineLevel="0" collapsed="false">
      <c r="A358" s="70" t="n">
        <v>1.77</v>
      </c>
      <c r="B358" s="71" t="n">
        <f aca="false">_xlfn.NORM.S.DIST(A358,FALSE())</f>
        <v>0.0832931860558745</v>
      </c>
      <c r="C358" s="71" t="n">
        <f aca="false">_xlfn.NORM.S.DIST(A358,TRUE())</f>
        <v>0.961636429637129</v>
      </c>
      <c r="D358" s="71" t="n">
        <f aca="false">B358-A358*(1-C358)</f>
        <v>0.0153896665135925</v>
      </c>
    </row>
    <row r="359" customFormat="false" ht="15" hidden="false" customHeight="true" outlineLevel="0" collapsed="false">
      <c r="A359" s="70" t="n">
        <v>1.775</v>
      </c>
      <c r="B359" s="71" t="n">
        <f aca="false">_xlfn.NORM.S.DIST(A359,FALSE())</f>
        <v>0.0825582616385916</v>
      </c>
      <c r="C359" s="71" t="n">
        <f aca="false">_xlfn.NORM.S.DIST(A359,TRUE())</f>
        <v>0.962051056406311</v>
      </c>
      <c r="D359" s="71" t="n">
        <f aca="false">B359-A359*(1-C359)</f>
        <v>0.0151988867597934</v>
      </c>
    </row>
    <row r="360" customFormat="false" ht="15" hidden="false" customHeight="true" outlineLevel="0" collapsed="false">
      <c r="A360" s="70" t="n">
        <v>1.78</v>
      </c>
      <c r="B360" s="71" t="n">
        <f aca="false">_xlfn.NORM.S.DIST(A360,FALSE())</f>
        <v>0.0818277759921428</v>
      </c>
      <c r="C360" s="71" t="n">
        <f aca="false">_xlfn.NORM.S.DIST(A360,TRUE())</f>
        <v>0.962462019651483</v>
      </c>
      <c r="D360" s="71" t="n">
        <f aca="false">B360-A360*(1-C360)</f>
        <v>0.015010170971783</v>
      </c>
    </row>
    <row r="361" customFormat="false" ht="15" hidden="false" customHeight="true" outlineLevel="0" collapsed="false">
      <c r="A361" s="70" t="n">
        <v>1.785</v>
      </c>
      <c r="B361" s="71" t="n">
        <f aca="false">_xlfn.NORM.S.DIST(A361,FALSE())</f>
        <v>0.0811017262039803</v>
      </c>
      <c r="C361" s="71" t="n">
        <f aca="false">_xlfn.NORM.S.DIST(A361,TRUE())</f>
        <v>0.962869341559346</v>
      </c>
      <c r="D361" s="71" t="n">
        <f aca="false">B361-A361*(1-C361)</f>
        <v>0.0148235008874137</v>
      </c>
    </row>
    <row r="362" customFormat="false" ht="15" hidden="false" customHeight="true" outlineLevel="0" collapsed="false">
      <c r="A362" s="70" t="n">
        <v>1.79</v>
      </c>
      <c r="B362" s="71" t="n">
        <f aca="false">_xlfn.NORM.S.DIST(A362,FALSE())</f>
        <v>0.0803801090561542</v>
      </c>
      <c r="C362" s="71" t="n">
        <f aca="false">_xlfn.NORM.S.DIST(A362,TRUE())</f>
        <v>0.963273044301274</v>
      </c>
      <c r="D362" s="71" t="n">
        <f aca="false">B362-A362*(1-C362)</f>
        <v>0.0146388583554341</v>
      </c>
    </row>
    <row r="363" customFormat="false" ht="15" hidden="false" customHeight="true" outlineLevel="0" collapsed="false">
      <c r="A363" s="70" t="n">
        <v>1.795</v>
      </c>
      <c r="B363" s="71" t="n">
        <f aca="false">_xlfn.NORM.S.DIST(A363,FALSE())</f>
        <v>0.079662921028343</v>
      </c>
      <c r="C363" s="71" t="n">
        <f aca="false">_xlfn.NORM.S.DIST(A363,TRUE())</f>
        <v>0.963673150031791</v>
      </c>
      <c r="D363" s="71" t="n">
        <f aca="false">B363-A363*(1-C363)</f>
        <v>0.0144562253354084</v>
      </c>
    </row>
    <row r="364" customFormat="false" ht="15" hidden="false" customHeight="true" outlineLevel="0" collapsed="false">
      <c r="A364" s="70" t="n">
        <v>1.8</v>
      </c>
      <c r="B364" s="71" t="n">
        <f aca="false">_xlfn.NORM.S.DIST(A364,FALSE())</f>
        <v>0.0789501583008942</v>
      </c>
      <c r="C364" s="71" t="n">
        <f aca="false">_xlfn.NORM.S.DIST(A364,TRUE())</f>
        <v>0.964069680887074</v>
      </c>
      <c r="D364" s="71" t="n">
        <f aca="false">B364-A364*(1-C364)</f>
        <v>0.0142755838976278</v>
      </c>
    </row>
    <row r="365" customFormat="false" ht="15" hidden="false" customHeight="true" outlineLevel="0" collapsed="false">
      <c r="A365" s="70" t="n">
        <v>1.805</v>
      </c>
      <c r="B365" s="71" t="n">
        <f aca="false">_xlfn.NORM.S.DIST(A365,FALSE())</f>
        <v>0.0782418167578751</v>
      </c>
      <c r="C365" s="71" t="n">
        <f aca="false">_xlfn.NORM.S.DIST(A365,TRUE())</f>
        <v>0.964462658983457</v>
      </c>
      <c r="D365" s="71" t="n">
        <f aca="false">B365-A365*(1-C365)</f>
        <v>0.0140969162230156</v>
      </c>
    </row>
    <row r="366" customFormat="false" ht="15" hidden="false" customHeight="true" outlineLevel="0" collapsed="false">
      <c r="A366" s="70" t="n">
        <v>1.81</v>
      </c>
      <c r="B366" s="71" t="n">
        <f aca="false">_xlfn.NORM.S.DIST(A366,FALSE())</f>
        <v>0.077537891990134</v>
      </c>
      <c r="C366" s="71" t="n">
        <f aca="false">_xlfn.NORM.S.DIST(A366,TRUE())</f>
        <v>0.964852106415961</v>
      </c>
      <c r="D366" s="71" t="n">
        <f aca="false">B366-A366*(1-C366)</f>
        <v>0.0139202046030237</v>
      </c>
    </row>
    <row r="367" customFormat="false" ht="15" hidden="false" customHeight="true" outlineLevel="0" collapsed="false">
      <c r="A367" s="70" t="n">
        <v>1.815</v>
      </c>
      <c r="B367" s="71" t="n">
        <f aca="false">_xlfn.NORM.S.DIST(A367,FALSE())</f>
        <v>0.0768383792983691</v>
      </c>
      <c r="C367" s="71" t="n">
        <f aca="false">_xlfn.NORM.S.DIST(A367,TRUE())</f>
        <v>0.965238045256835</v>
      </c>
      <c r="D367" s="71" t="n">
        <f aca="false">B367-A367*(1-C367)</f>
        <v>0.0137454314395238</v>
      </c>
    </row>
    <row r="368" customFormat="false" ht="15" hidden="false" customHeight="true" outlineLevel="0" collapsed="false">
      <c r="A368" s="70" t="n">
        <v>1.82</v>
      </c>
      <c r="B368" s="71" t="n">
        <f aca="false">_xlfn.NORM.S.DIST(A368,FALSE())</f>
        <v>0.0761432736962073</v>
      </c>
      <c r="C368" s="71" t="n">
        <f aca="false">_xlfn.NORM.S.DIST(A368,TRUE())</f>
        <v>0.96562049755411</v>
      </c>
      <c r="D368" s="71" t="n">
        <f aca="false">B368-A368*(1-C368)</f>
        <v>0.0135725792446876</v>
      </c>
    </row>
    <row r="369" customFormat="false" ht="15" hidden="false" customHeight="true" outlineLevel="0" collapsed="false">
      <c r="A369" s="70" t="n">
        <v>1.825</v>
      </c>
      <c r="B369" s="71" t="n">
        <f aca="false">_xlfn.NORM.S.DIST(A369,FALSE())</f>
        <v>0.0754525699132902</v>
      </c>
      <c r="C369" s="71" t="n">
        <f aca="false">_xlfn.NORM.S.DIST(A369,TRUE())</f>
        <v>0.965999485330178</v>
      </c>
      <c r="D369" s="71" t="n">
        <f aca="false">B369-A369*(1-C369)</f>
        <v>0.0134016306408642</v>
      </c>
    </row>
    <row r="370" customFormat="false" ht="15" hidden="false" customHeight="true" outlineLevel="0" collapsed="false">
      <c r="A370" s="70" t="n">
        <v>1.83</v>
      </c>
      <c r="B370" s="71" t="n">
        <f aca="false">_xlfn.NORM.S.DIST(A370,FALSE())</f>
        <v>0.0747662623983676</v>
      </c>
      <c r="C370" s="71" t="n">
        <f aca="false">_xlfn.NORM.S.DIST(A370,TRUE())</f>
        <v>0.966375030580372</v>
      </c>
      <c r="D370" s="71" t="n">
        <f aca="false">B370-A370*(1-C370)</f>
        <v>0.0132325683604477</v>
      </c>
    </row>
    <row r="371" customFormat="false" ht="15" hidden="false" customHeight="true" outlineLevel="0" collapsed="false">
      <c r="A371" s="70" t="n">
        <v>1.835</v>
      </c>
      <c r="B371" s="71" t="n">
        <f aca="false">_xlfn.NORM.S.DIST(A371,FALSE())</f>
        <v>0.0740843453223983</v>
      </c>
      <c r="C371" s="71" t="n">
        <f aca="false">_xlfn.NORM.S.DIST(A371,TRUE())</f>
        <v>0.966747155271575</v>
      </c>
      <c r="D371" s="71" t="n">
        <f aca="false">B371-A371*(1-C371)</f>
        <v>0.0130653752457379</v>
      </c>
    </row>
    <row r="372" customFormat="false" ht="15" hidden="false" customHeight="true" outlineLevel="0" collapsed="false">
      <c r="A372" s="70" t="n">
        <v>1.84</v>
      </c>
      <c r="B372" s="71" t="n">
        <f aca="false">_xlfn.NORM.S.DIST(A372,FALSE())</f>
        <v>0.0734068125816569</v>
      </c>
      <c r="C372" s="71" t="n">
        <f aca="false">_xlfn.NORM.S.DIST(A372,TRUE())</f>
        <v>0.967115881340836</v>
      </c>
      <c r="D372" s="71" t="n">
        <f aca="false">B372-A372*(1-C372)</f>
        <v>0.0129000342487954</v>
      </c>
    </row>
    <row r="373" customFormat="false" ht="15" hidden="false" customHeight="true" outlineLevel="0" collapsed="false">
      <c r="A373" s="70" t="n">
        <v>1.845</v>
      </c>
      <c r="B373" s="71" t="n">
        <f aca="false">_xlfn.NORM.S.DIST(A373,FALSE())</f>
        <v>0.0727336578008467</v>
      </c>
      <c r="C373" s="71" t="n">
        <f aca="false">_xlfn.NORM.S.DIST(A373,TRUE())</f>
        <v>0.967481230694006</v>
      </c>
      <c r="D373" s="71" t="n">
        <f aca="false">B373-A373*(1-C373)</f>
        <v>0.0127365284312881</v>
      </c>
    </row>
    <row r="374" customFormat="false" ht="15" hidden="false" customHeight="true" outlineLevel="0" collapsed="false">
      <c r="A374" s="70" t="n">
        <v>1.85</v>
      </c>
      <c r="B374" s="71" t="n">
        <f aca="false">_xlfn.NORM.S.DIST(A374,FALSE())</f>
        <v>0.072064874336218</v>
      </c>
      <c r="C374" s="71" t="n">
        <f aca="false">_xlfn.NORM.S.DIST(A374,TRUE())</f>
        <v>0.967843225204386</v>
      </c>
      <c r="D374" s="71" t="n">
        <f aca="false">B374-A374*(1-C374)</f>
        <v>0.0125748409643326</v>
      </c>
    </row>
    <row r="375" customFormat="false" ht="15" hidden="false" customHeight="true" outlineLevel="0" collapsed="false">
      <c r="A375" s="70" t="n">
        <v>1.855</v>
      </c>
      <c r="B375" s="71" t="n">
        <f aca="false">_xlfn.NORM.S.DIST(A375,FALSE())</f>
        <v>0.071400455278691</v>
      </c>
      <c r="C375" s="71" t="n">
        <f aca="false">_xlfn.NORM.S.DIST(A375,TRUE())</f>
        <v>0.968201886711395</v>
      </c>
      <c r="D375" s="71" t="n">
        <f aca="false">B375-A375*(1-C375)</f>
        <v>0.0124149551283283</v>
      </c>
    </row>
    <row r="376" customFormat="false" ht="15" hidden="false" customHeight="true" outlineLevel="0" collapsed="false">
      <c r="A376" s="70" t="n">
        <v>1.86</v>
      </c>
      <c r="B376" s="71" t="n">
        <f aca="false">_xlfn.NORM.S.DIST(A376,FALSE())</f>
        <v>0.0707403934569834</v>
      </c>
      <c r="C376" s="71" t="n">
        <f aca="false">_xlfn.NORM.S.DIST(A376,TRUE())</f>
        <v>0.968557237019247</v>
      </c>
      <c r="D376" s="71" t="n">
        <f aca="false">B376-A376*(1-C376)</f>
        <v>0.0122568543127834</v>
      </c>
    </row>
    <row r="377" customFormat="false" ht="15" hidden="false" customHeight="true" outlineLevel="0" collapsed="false">
      <c r="A377" s="70" t="n">
        <v>1.865</v>
      </c>
      <c r="B377" s="71" t="n">
        <f aca="false">_xlfn.NORM.S.DIST(A377,FALSE())</f>
        <v>0.0700846814407413</v>
      </c>
      <c r="C377" s="71" t="n">
        <f aca="false">_xlfn.NORM.S.DIST(A377,TRUE())</f>
        <v>0.968909297895655</v>
      </c>
      <c r="D377" s="71" t="n">
        <f aca="false">B377-A377*(1-C377)</f>
        <v>0.012100522016137</v>
      </c>
    </row>
    <row r="378" customFormat="false" ht="15" hidden="false" customHeight="true" outlineLevel="0" collapsed="false">
      <c r="A378" s="70" t="n">
        <v>1.87</v>
      </c>
      <c r="B378" s="71" t="n">
        <f aca="false">_xlfn.NORM.S.DIST(A378,FALSE())</f>
        <v>0.0694333115436742</v>
      </c>
      <c r="C378" s="71" t="n">
        <f aca="false">_xlfn.NORM.S.DIST(A378,TRUE())</f>
        <v>0.969258091070534</v>
      </c>
      <c r="D378" s="71" t="n">
        <f aca="false">B378-A378*(1-C378)</f>
        <v>0.0119459418455729</v>
      </c>
    </row>
    <row r="379" customFormat="false" ht="15" hidden="false" customHeight="true" outlineLevel="0" collapsed="false">
      <c r="A379" s="70" t="n">
        <v>1.875</v>
      </c>
      <c r="B379" s="71" t="n">
        <f aca="false">_xlfn.NORM.S.DIST(A379,FALSE())</f>
        <v>0.0687862758266919</v>
      </c>
      <c r="C379" s="71" t="n">
        <f aca="false">_xlfn.NORM.S.DIST(A379,TRUE())</f>
        <v>0.969603638234739</v>
      </c>
      <c r="D379" s="71" t="n">
        <f aca="false">B379-A379*(1-C379)</f>
        <v>0.0117930975168268</v>
      </c>
    </row>
    <row r="380" customFormat="false" ht="15" hidden="false" customHeight="true" outlineLevel="0" collapsed="false">
      <c r="A380" s="70" t="n">
        <v>1.88</v>
      </c>
      <c r="B380" s="71" t="n">
        <f aca="false">_xlfn.NORM.S.DIST(A380,FALSE())</f>
        <v>0.0681435661010446</v>
      </c>
      <c r="C380" s="71" t="n">
        <f aca="false">_xlfn.NORM.S.DIST(A380,TRUE())</f>
        <v>0.9699459610388</v>
      </c>
      <c r="D380" s="71" t="n">
        <f aca="false">B380-A380*(1-C380)</f>
        <v>0.0116419728539889</v>
      </c>
    </row>
    <row r="381" customFormat="false" ht="15" hidden="false" customHeight="true" outlineLevel="0" collapsed="false">
      <c r="A381" s="70" t="n">
        <v>1.885</v>
      </c>
      <c r="B381" s="71" t="n">
        <f aca="false">_xlfn.NORM.S.DIST(A381,FALSE())</f>
        <v>0.0675051739314641</v>
      </c>
      <c r="C381" s="71" t="n">
        <f aca="false">_xlfn.NORM.S.DIST(A381,TRUE())</f>
        <v>0.970285081091689</v>
      </c>
      <c r="D381" s="71" t="n">
        <f aca="false">B381-A381*(1-C381)</f>
        <v>0.0114925517892987</v>
      </c>
    </row>
    <row r="382" customFormat="false" ht="15" hidden="false" customHeight="true" outlineLevel="0" collapsed="false">
      <c r="A382" s="70" t="n">
        <v>1.89</v>
      </c>
      <c r="B382" s="71" t="n">
        <f aca="false">_xlfn.NORM.S.DIST(A382,FALSE())</f>
        <v>0.0668710906393072</v>
      </c>
      <c r="C382" s="71" t="n">
        <f aca="false">_xlfn.NORM.S.DIST(A382,TRUE())</f>
        <v>0.970621019959591</v>
      </c>
      <c r="D382" s="71" t="n">
        <f aca="false">B382-A382*(1-C382)</f>
        <v>0.0113448183629334</v>
      </c>
    </row>
    <row r="383" customFormat="false" ht="15" hidden="false" customHeight="true" outlineLevel="0" collapsed="false">
      <c r="A383" s="70" t="n">
        <v>1.895</v>
      </c>
      <c r="B383" s="71" t="n">
        <f aca="false">_xlfn.NORM.S.DIST(A383,FALSE())</f>
        <v>0.0662413073056987</v>
      </c>
      <c r="C383" s="71" t="n">
        <f aca="false">_xlfn.NORM.S.DIST(A383,TRUE())</f>
        <v>0.970953799164693</v>
      </c>
      <c r="D383" s="71" t="n">
        <f aca="false">B383-A383*(1-C383)</f>
        <v>0.0111987567227923</v>
      </c>
    </row>
    <row r="384" customFormat="false" ht="15" hidden="false" customHeight="true" outlineLevel="0" collapsed="false">
      <c r="A384" s="70" t="n">
        <v>1.9</v>
      </c>
      <c r="B384" s="71" t="n">
        <f aca="false">_xlfn.NORM.S.DIST(A384,FALSE())</f>
        <v>0.0656158147746766</v>
      </c>
      <c r="C384" s="71" t="n">
        <f aca="false">_xlfn.NORM.S.DIST(A384,TRUE())</f>
        <v>0.971283440183998</v>
      </c>
      <c r="D384" s="71" t="n">
        <f aca="false">B384-A384*(1-C384)</f>
        <v>0.0110543511242733</v>
      </c>
    </row>
    <row r="385" customFormat="false" ht="15" hidden="false" customHeight="true" outlineLevel="0" collapsed="false">
      <c r="A385" s="70" t="n">
        <v>1.905</v>
      </c>
      <c r="B385" s="71" t="n">
        <f aca="false">_xlfn.NORM.S.DIST(A385,FALSE())</f>
        <v>0.0649946036563352</v>
      </c>
      <c r="C385" s="71" t="n">
        <f aca="false">_xlfn.NORM.S.DIST(A385,TRUE())</f>
        <v>0.971609964448141</v>
      </c>
      <c r="D385" s="71" t="n">
        <f aca="false">B385-A385*(1-C385)</f>
        <v>0.0109115859300431</v>
      </c>
    </row>
    <row r="386" customFormat="false" ht="15" hidden="false" customHeight="true" outlineLevel="0" collapsed="false">
      <c r="A386" s="70" t="n">
        <v>1.91</v>
      </c>
      <c r="B386" s="71" t="n">
        <f aca="false">_xlfn.NORM.S.DIST(A386,FALSE())</f>
        <v>0.0643776643299694</v>
      </c>
      <c r="C386" s="71" t="n">
        <f aca="false">_xlfn.NORM.S.DIST(A386,TRUE())</f>
        <v>0.971933393340228</v>
      </c>
      <c r="D386" s="71" t="n">
        <f aca="false">B386-A386*(1-C386)</f>
        <v>0.010770445609804</v>
      </c>
    </row>
    <row r="387" customFormat="false" ht="15" hidden="false" customHeight="true" outlineLevel="0" collapsed="false">
      <c r="A387" s="70" t="n">
        <v>1.915</v>
      </c>
      <c r="B387" s="71" t="n">
        <f aca="false">_xlfn.NORM.S.DIST(A387,FALSE())</f>
        <v>0.0637649869472167</v>
      </c>
      <c r="C387" s="71" t="n">
        <f aca="false">_xlfn.NORM.S.DIST(A387,TRUE())</f>
        <v>0.972253748194692</v>
      </c>
      <c r="D387" s="71" t="n">
        <f aca="false">B387-A387*(1-C387)</f>
        <v>0.0106309147400521</v>
      </c>
    </row>
    <row r="388" customFormat="false" ht="15" hidden="false" customHeight="true" outlineLevel="0" collapsed="false">
      <c r="A388" s="70" t="n">
        <v>1.92</v>
      </c>
      <c r="B388" s="71" t="n">
        <f aca="false">_xlfn.NORM.S.DIST(A388,FALSE())</f>
        <v>0.0631565614351987</v>
      </c>
      <c r="C388" s="71" t="n">
        <f aca="false">_xlfn.NORM.S.DIST(A388,TRUE())</f>
        <v>0.972571050296163</v>
      </c>
      <c r="D388" s="71" t="n">
        <f aca="false">B388-A388*(1-C388)</f>
        <v>0.010492978003832</v>
      </c>
    </row>
    <row r="389" customFormat="false" ht="15" hidden="false" customHeight="true" outlineLevel="0" collapsed="false">
      <c r="A389" s="70" t="n">
        <v>1.925</v>
      </c>
      <c r="B389" s="71" t="n">
        <f aca="false">_xlfn.NORM.S.DIST(A389,FALSE())</f>
        <v>0.06255237749966</v>
      </c>
      <c r="C389" s="71" t="n">
        <f aca="false">_xlfn.NORM.S.DIST(A389,TRUE())</f>
        <v>0.97288532087835</v>
      </c>
      <c r="D389" s="71" t="n">
        <f aca="false">B389-A389*(1-C389)</f>
        <v>0.0103566201904844</v>
      </c>
    </row>
    <row r="390" customFormat="false" ht="15" hidden="false" customHeight="true" outlineLevel="0" collapsed="false">
      <c r="A390" s="70" t="n">
        <v>1.93</v>
      </c>
      <c r="B390" s="71" t="n">
        <f aca="false">_xlfn.NORM.S.DIST(A390,FALSE())</f>
        <v>0.0619524246281052</v>
      </c>
      <c r="C390" s="71" t="n">
        <f aca="false">_xlfn.NORM.S.DIST(A390,TRUE())</f>
        <v>0.973196581122945</v>
      </c>
      <c r="D390" s="71" t="n">
        <f aca="false">B390-A390*(1-C390)</f>
        <v>0.0102218261953891</v>
      </c>
    </row>
    <row r="391" customFormat="false" ht="15" hidden="false" customHeight="true" outlineLevel="0" collapsed="false">
      <c r="A391" s="70" t="n">
        <v>1.935</v>
      </c>
      <c r="B391" s="71" t="n">
        <f aca="false">_xlfn.NORM.S.DIST(A391,FALSE())</f>
        <v>0.0613566920929325</v>
      </c>
      <c r="C391" s="71" t="n">
        <f aca="false">_xlfn.NORM.S.DIST(A391,TRUE())</f>
        <v>0.973504852158537</v>
      </c>
      <c r="D391" s="71" t="n">
        <f aca="false">B391-A391*(1-C391)</f>
        <v>0.010088581019702</v>
      </c>
    </row>
    <row r="392" customFormat="false" ht="15" hidden="false" customHeight="true" outlineLevel="0" collapsed="false">
      <c r="A392" s="70" t="n">
        <v>1.94</v>
      </c>
      <c r="B392" s="71" t="n">
        <f aca="false">_xlfn.NORM.S.DIST(A392,FALSE())</f>
        <v>0.0607651689545648</v>
      </c>
      <c r="C392" s="71" t="n">
        <f aca="false">_xlfn.NORM.S.DIST(A392,TRUE())</f>
        <v>0.973810155059547</v>
      </c>
      <c r="D392" s="71" t="n">
        <f aca="false">B392-A392*(1-C392)</f>
        <v>0.00995686977008648</v>
      </c>
    </row>
    <row r="393" customFormat="false" ht="15" hidden="false" customHeight="true" outlineLevel="0" collapsed="false">
      <c r="A393" s="70" t="n">
        <v>1.945</v>
      </c>
      <c r="B393" s="71" t="n">
        <f aca="false">_xlfn.NORM.S.DIST(A393,FALSE())</f>
        <v>0.0601778440645764</v>
      </c>
      <c r="C393" s="71" t="n">
        <f aca="false">_xlfn.NORM.S.DIST(A393,TRUE())</f>
        <v>0.974112510845175</v>
      </c>
      <c r="D393" s="71" t="n">
        <f aca="false">B393-A393*(1-C393)</f>
        <v>0.0098266776584416</v>
      </c>
    </row>
    <row r="394" customFormat="false" ht="15" hidden="false" customHeight="true" outlineLevel="0" collapsed="false">
      <c r="A394" s="70" t="n">
        <v>1.95</v>
      </c>
      <c r="B394" s="71" t="n">
        <f aca="false">_xlfn.NORM.S.DIST(A394,FALSE())</f>
        <v>0.0595947060688161</v>
      </c>
      <c r="C394" s="71" t="n">
        <f aca="false">_xlfn.NORM.S.DIST(A394,TRUE())</f>
        <v>0.974411940478361</v>
      </c>
      <c r="D394" s="71" t="n">
        <f aca="false">B394-A394*(1-C394)</f>
        <v>0.00969799000162088</v>
      </c>
    </row>
    <row r="395" customFormat="false" ht="15" hidden="false" customHeight="true" outlineLevel="0" collapsed="false">
      <c r="A395" s="70" t="n">
        <v>1.955</v>
      </c>
      <c r="B395" s="71" t="n">
        <f aca="false">_xlfn.NORM.S.DIST(A395,FALSE())</f>
        <v>0.0590157434105253</v>
      </c>
      <c r="C395" s="71" t="n">
        <f aca="false">_xlfn.NORM.S.DIST(A395,TRUE())</f>
        <v>0.97470846486477</v>
      </c>
      <c r="D395" s="71" t="n">
        <f aca="false">B395-A395*(1-C395)</f>
        <v>0.00957079222115044</v>
      </c>
    </row>
    <row r="396" customFormat="false" ht="15" hidden="false" customHeight="true" outlineLevel="0" collapsed="false">
      <c r="A396" s="70" t="n">
        <v>1.96</v>
      </c>
      <c r="B396" s="71" t="n">
        <f aca="false">_xlfn.NORM.S.DIST(A396,FALSE())</f>
        <v>0.0584409443334515</v>
      </c>
      <c r="C396" s="71" t="n">
        <f aca="false">_xlfn.NORM.S.DIST(A396,TRUE())</f>
        <v>0.97500210485178</v>
      </c>
      <c r="D396" s="71" t="n">
        <f aca="false">B396-A396*(1-C396)</f>
        <v>0.00944506984293933</v>
      </c>
    </row>
    <row r="397" customFormat="false" ht="15" hidden="false" customHeight="true" outlineLevel="0" collapsed="false">
      <c r="A397" s="70" t="n">
        <v>1.965</v>
      </c>
      <c r="B397" s="71" t="n">
        <f aca="false">_xlfn.NORM.S.DIST(A397,FALSE())</f>
        <v>0.0578702968849562</v>
      </c>
      <c r="C397" s="71" t="n">
        <f aca="false">_xlfn.NORM.S.DIST(A397,TRUE())</f>
        <v>0.975292881227496</v>
      </c>
      <c r="D397" s="71" t="n">
        <f aca="false">B397-A397*(1-C397)</f>
        <v>0.0093208084969861</v>
      </c>
    </row>
    <row r="398" customFormat="false" ht="15" hidden="false" customHeight="true" outlineLevel="0" collapsed="false">
      <c r="A398" s="70" t="n">
        <v>1.97</v>
      </c>
      <c r="B398" s="71" t="n">
        <f aca="false">_xlfn.NORM.S.DIST(A398,FALSE())</f>
        <v>0.0573037889191171</v>
      </c>
      <c r="C398" s="71" t="n">
        <f aca="false">_xlfn.NORM.S.DIST(A398,TRUE())</f>
        <v>0.975580814719777</v>
      </c>
      <c r="D398" s="71" t="n">
        <f aca="false">B398-A398*(1-C398)</f>
        <v>0.00919799391707866</v>
      </c>
    </row>
    <row r="399" customFormat="false" ht="15" hidden="false" customHeight="true" outlineLevel="0" collapsed="false">
      <c r="A399" s="70" t="n">
        <v>1.975</v>
      </c>
      <c r="B399" s="71" t="n">
        <f aca="false">_xlfn.NORM.S.DIST(A399,FALSE())</f>
        <v>0.056741408099824</v>
      </c>
      <c r="C399" s="71" t="n">
        <f aca="false">_xlfn.NORM.S.DIST(A399,TRUE())</f>
        <v>0.975865925995275</v>
      </c>
      <c r="D399" s="71" t="n">
        <f aca="false">B399-A399*(1-C399)</f>
        <v>0.00907661194049257</v>
      </c>
    </row>
    <row r="400" customFormat="false" ht="15" hidden="false" customHeight="true" outlineLevel="0" collapsed="false">
      <c r="A400" s="70" t="n">
        <v>1.98</v>
      </c>
      <c r="B400" s="71" t="n">
        <f aca="false">_xlfn.NORM.S.DIST(A400,FALSE())</f>
        <v>0.0561831419038681</v>
      </c>
      <c r="C400" s="71" t="n">
        <f aca="false">_xlfn.NORM.S.DIST(A400,TRUE())</f>
        <v>0.976148235658492</v>
      </c>
      <c r="D400" s="71" t="n">
        <f aca="false">B400-A400*(1-C400)</f>
        <v>0.00895664850768125</v>
      </c>
    </row>
    <row r="401" customFormat="false" ht="15" hidden="false" customHeight="true" outlineLevel="0" collapsed="false">
      <c r="A401" s="70" t="n">
        <v>1.985</v>
      </c>
      <c r="B401" s="71" t="n">
        <f aca="false">_xlfn.NORM.S.DIST(A401,FALSE())</f>
        <v>0.0556289776240241</v>
      </c>
      <c r="C401" s="71" t="n">
        <f aca="false">_xlfn.NORM.S.DIST(A401,TRUE())</f>
        <v>0.976427764250851</v>
      </c>
      <c r="D401" s="71" t="n">
        <f aca="false">B401-A401*(1-C401)</f>
        <v>0.00883808966196307</v>
      </c>
    </row>
    <row r="402" customFormat="false" ht="15" hidden="false" customHeight="true" outlineLevel="0" collapsed="false">
      <c r="A402" s="70" t="n">
        <v>1.99</v>
      </c>
      <c r="B402" s="71" t="n">
        <f aca="false">_xlfn.NORM.S.DIST(A402,FALSE())</f>
        <v>0.0550789023721258</v>
      </c>
      <c r="C402" s="71" t="n">
        <f aca="false">_xlfn.NORM.S.DIST(A402,TRUE())</f>
        <v>0.976704532249788</v>
      </c>
      <c r="D402" s="71" t="n">
        <f aca="false">B402-A402*(1-C402)</f>
        <v>0.00872092154920418</v>
      </c>
    </row>
    <row r="403" customFormat="false" ht="15" hidden="false" customHeight="true" outlineLevel="0" collapsed="false">
      <c r="A403" s="70" t="n">
        <v>1.995</v>
      </c>
      <c r="B403" s="71" t="n">
        <f aca="false">_xlfn.NORM.S.DIST(A403,FALSE())</f>
        <v>0.0545329030821324</v>
      </c>
      <c r="C403" s="71" t="n">
        <f aca="false">_xlfn.NORM.S.DIST(A403,TRUE())</f>
        <v>0.976978560067852</v>
      </c>
      <c r="D403" s="71" t="n">
        <f aca="false">B403-A403*(1-C403)</f>
        <v>0.00860513041749645</v>
      </c>
    </row>
    <row r="404" customFormat="false" ht="15" hidden="false" customHeight="true" outlineLevel="0" collapsed="false">
      <c r="A404" s="70" t="n">
        <v>2</v>
      </c>
      <c r="B404" s="71" t="n">
        <f aca="false">_xlfn.NORM.S.DIST(A404,FALSE())</f>
        <v>0.0539909665131881</v>
      </c>
      <c r="C404" s="71" t="n">
        <f aca="false">_xlfn.NORM.S.DIST(A404,TRUE())</f>
        <v>0.977249868051821</v>
      </c>
      <c r="D404" s="71" t="n">
        <f aca="false">B404-A404*(1-C404)</f>
        <v>0.00849070261682965</v>
      </c>
    </row>
    <row r="405" customFormat="false" ht="15" hidden="false" customHeight="true" outlineLevel="0" collapsed="false">
      <c r="A405" s="70" t="n">
        <v>2.005</v>
      </c>
      <c r="B405" s="71" t="n">
        <f aca="false">_xlfn.NORM.S.DIST(A405,FALSE())</f>
        <v>0.053453079252672</v>
      </c>
      <c r="C405" s="71" t="n">
        <f aca="false">_xlfn.NORM.S.DIST(A405,TRUE())</f>
        <v>0.97751847648184</v>
      </c>
      <c r="D405" s="71" t="n">
        <f aca="false">B405-A405*(1-C405)</f>
        <v>0.00837762459876188</v>
      </c>
    </row>
    <row r="406" customFormat="false" ht="15" hidden="false" customHeight="true" outlineLevel="0" collapsed="false">
      <c r="A406" s="70" t="n">
        <v>2.01</v>
      </c>
      <c r="B406" s="71" t="n">
        <f aca="false">_xlfn.NORM.S.DIST(A406,FALSE())</f>
        <v>0.0529192277192403</v>
      </c>
      <c r="C406" s="71" t="n">
        <f aca="false">_xlfn.NORM.S.DIST(A406,TRUE())</f>
        <v>0.977784405570569</v>
      </c>
      <c r="D406" s="71" t="n">
        <f aca="false">B406-A406*(1-C406)</f>
        <v>0.00826588291608313</v>
      </c>
    </row>
    <row r="407" customFormat="false" ht="15" hidden="false" customHeight="true" outlineLevel="0" collapsed="false">
      <c r="A407" s="70" t="n">
        <v>2.015</v>
      </c>
      <c r="B407" s="71" t="n">
        <f aca="false">_xlfn.NORM.S.DIST(A407,FALSE())</f>
        <v>0.0523893981658576</v>
      </c>
      <c r="C407" s="71" t="n">
        <f aca="false">_xlfn.NORM.S.DIST(A407,TRUE())</f>
        <v>0.978047675462342</v>
      </c>
      <c r="D407" s="71" t="n">
        <f aca="false">B407-A407*(1-C407)</f>
        <v>0.00815546422247644</v>
      </c>
    </row>
    <row r="408" customFormat="false" ht="15" hidden="false" customHeight="true" outlineLevel="0" collapsed="false">
      <c r="A408" s="70" t="n">
        <v>2.02</v>
      </c>
      <c r="B408" s="71" t="n">
        <f aca="false">_xlfn.NORM.S.DIST(A408,FALSE())</f>
        <v>0.0518635766828206</v>
      </c>
      <c r="C408" s="71" t="n">
        <f aca="false">_xlfn.NORM.S.DIST(A408,TRUE())</f>
        <v>0.978308306232353</v>
      </c>
      <c r="D408" s="71" t="n">
        <f aca="false">B408-A408*(1-C408)</f>
        <v>0.00804635527217405</v>
      </c>
    </row>
    <row r="409" customFormat="false" ht="15" hidden="false" customHeight="true" outlineLevel="0" collapsed="false">
      <c r="A409" s="70" t="n">
        <v>2.025</v>
      </c>
      <c r="B409" s="71" t="n">
        <f aca="false">_xlfn.NORM.S.DIST(A409,FALSE())</f>
        <v>0.0513417492007695</v>
      </c>
      <c r="C409" s="71" t="n">
        <f aca="false">_xlfn.NORM.S.DIST(A409,TRUE())</f>
        <v>0.978566317885847</v>
      </c>
      <c r="D409" s="71" t="n">
        <f aca="false">B409-A409*(1-C409)</f>
        <v>0.00793854291960969</v>
      </c>
    </row>
    <row r="410" customFormat="false" ht="15" hidden="false" customHeight="true" outlineLevel="0" collapsed="false">
      <c r="A410" s="70" t="n">
        <v>2.03</v>
      </c>
      <c r="B410" s="71" t="n">
        <f aca="false">_xlfn.NORM.S.DIST(A410,FALSE())</f>
        <v>0.0508239014936912</v>
      </c>
      <c r="C410" s="71" t="n">
        <f aca="false">_xlfn.NORM.S.DIST(A410,TRUE())</f>
        <v>0.978821730357328</v>
      </c>
      <c r="D410" s="71" t="n">
        <f aca="false">B410-A410*(1-C410)</f>
        <v>0.00783201411906661</v>
      </c>
    </row>
    <row r="411" customFormat="false" ht="15" hidden="false" customHeight="true" outlineLevel="0" collapsed="false">
      <c r="A411" s="70" t="n">
        <v>2.035</v>
      </c>
      <c r="B411" s="71" t="n">
        <f aca="false">_xlfn.NORM.S.DIST(A411,FALSE())</f>
        <v>0.0503100191819105</v>
      </c>
      <c r="C411" s="71" t="n">
        <f aca="false">_xlfn.NORM.S.DIST(A411,TRUE())</f>
        <v>0.979074563509785</v>
      </c>
      <c r="D411" s="71" t="n">
        <f aca="false">B411-A411*(1-C411)</f>
        <v>0.00772675592432198</v>
      </c>
    </row>
    <row r="412" customFormat="false" ht="15" hidden="false" customHeight="true" outlineLevel="0" collapsed="false">
      <c r="A412" s="70" t="n">
        <v>2.04</v>
      </c>
      <c r="B412" s="71" t="n">
        <f aca="false">_xlfn.NORM.S.DIST(A412,FALSE())</f>
        <v>0.0498000877350708</v>
      </c>
      <c r="C412" s="71" t="n">
        <f aca="false">_xlfn.NORM.S.DIST(A412,TRUE())</f>
        <v>0.97932483713393</v>
      </c>
      <c r="D412" s="71" t="n">
        <f aca="false">B412-A412*(1-C412)</f>
        <v>0.00762275548828782</v>
      </c>
    </row>
    <row r="413" customFormat="false" ht="15" hidden="false" customHeight="true" outlineLevel="0" collapsed="false">
      <c r="A413" s="70" t="n">
        <v>2.045</v>
      </c>
      <c r="B413" s="71" t="n">
        <f aca="false">_xlfn.NORM.S.DIST(A413,FALSE())</f>
        <v>0.0492940924751028</v>
      </c>
      <c r="C413" s="71" t="n">
        <f aca="false">_xlfn.NORM.S.DIST(A413,TRUE())</f>
        <v>0.979572570947455</v>
      </c>
      <c r="D413" s="71" t="n">
        <f aca="false">B413-A413*(1-C413)</f>
        <v>0.00752000006264759</v>
      </c>
    </row>
    <row r="414" customFormat="false" ht="15" hidden="false" customHeight="true" outlineLevel="0" collapsed="false">
      <c r="A414" s="70" t="n">
        <v>2.05</v>
      </c>
      <c r="B414" s="71" t="n">
        <f aca="false">_xlfn.NORM.S.DIST(A414,FALSE())</f>
        <v>0.0487920185791828</v>
      </c>
      <c r="C414" s="71" t="n">
        <f aca="false">_xlfn.NORM.S.DIST(A414,TRUE())</f>
        <v>0.979817784594296</v>
      </c>
      <c r="D414" s="71" t="n">
        <f aca="false">B414-A414*(1-C414)</f>
        <v>0.00741847699748872</v>
      </c>
    </row>
    <row r="415" customFormat="false" ht="15" hidden="false" customHeight="true" outlineLevel="0" collapsed="false">
      <c r="A415" s="70" t="n">
        <v>2.055</v>
      </c>
      <c r="B415" s="71" t="n">
        <f aca="false">_xlfn.NORM.S.DIST(A415,FALSE())</f>
        <v>0.0482938510826773</v>
      </c>
      <c r="C415" s="71" t="n">
        <f aca="false">_xlfn.NORM.S.DIST(A415,TRUE())</f>
        <v>0.98006049764392</v>
      </c>
      <c r="D415" s="71" t="n">
        <f aca="false">B415-A415*(1-C415)</f>
        <v>0.00731817374093268</v>
      </c>
    </row>
    <row r="416" customFormat="false" ht="15" hidden="false" customHeight="true" outlineLevel="0" collapsed="false">
      <c r="A416" s="70" t="n">
        <v>2.06</v>
      </c>
      <c r="B416" s="71" t="n">
        <f aca="false">_xlfn.NORM.S.DIST(A416,FALSE())</f>
        <v>0.047799574882077</v>
      </c>
      <c r="C416" s="71" t="n">
        <f aca="false">_xlfn.NORM.S.DIST(A416,TRUE())</f>
        <v>0.980300729590623</v>
      </c>
      <c r="D416" s="71" t="n">
        <f aca="false">B416-A416*(1-C416)</f>
        <v>0.00721907783876059</v>
      </c>
    </row>
    <row r="417" customFormat="false" ht="15" hidden="false" customHeight="true" outlineLevel="0" collapsed="false">
      <c r="A417" s="70" t="n">
        <v>2.065</v>
      </c>
      <c r="B417" s="71" t="n">
        <f aca="false">_xlfn.NORM.S.DIST(A417,FALSE())</f>
        <v>0.0473091747379167</v>
      </c>
      <c r="C417" s="71" t="n">
        <f aca="false">_xlfn.NORM.S.DIST(A417,TRUE())</f>
        <v>0.980538499852842</v>
      </c>
      <c r="D417" s="71" t="n">
        <f aca="false">B417-A417*(1-C417)</f>
        <v>0.00712117693403575</v>
      </c>
    </row>
    <row r="418" customFormat="false" ht="15" hidden="false" customHeight="true" outlineLevel="0" collapsed="false">
      <c r="A418" s="70" t="n">
        <v>2.07</v>
      </c>
      <c r="B418" s="71" t="n">
        <f aca="false">_xlfn.NORM.S.DIST(A418,FALSE())</f>
        <v>0.0468226352776832</v>
      </c>
      <c r="C418" s="71" t="n">
        <f aca="false">_xlfn.NORM.S.DIST(A418,TRUE())</f>
        <v>0.980773827772483</v>
      </c>
      <c r="D418" s="71" t="n">
        <f aca="false">B418-A418*(1-C418)</f>
        <v>0.00702445876672231</v>
      </c>
    </row>
    <row r="419" customFormat="false" ht="15" hidden="false" customHeight="true" outlineLevel="0" collapsed="false">
      <c r="A419" s="70" t="n">
        <v>2.075</v>
      </c>
      <c r="B419" s="71" t="n">
        <f aca="false">_xlfn.NORM.S.DIST(A419,FALSE())</f>
        <v>0.0463399409987092</v>
      </c>
      <c r="C419" s="71" t="n">
        <f aca="false">_xlfn.NORM.S.DIST(A419,TRUE())</f>
        <v>0.981006732614262</v>
      </c>
      <c r="D419" s="71" t="n">
        <f aca="false">B419-A419*(1-C419)</f>
        <v>0.00692891117330188</v>
      </c>
    </row>
    <row r="420" customFormat="false" ht="15" hidden="false" customHeight="true" outlineLevel="0" collapsed="false">
      <c r="A420" s="70" t="n">
        <v>2.08</v>
      </c>
      <c r="B420" s="71" t="n">
        <f aca="false">_xlfn.NORM.S.DIST(A420,FALSE())</f>
        <v>0.0458610762710549</v>
      </c>
      <c r="C420" s="71" t="n">
        <f aca="false">_xlfn.NORM.S.DIST(A420,TRUE())</f>
        <v>0.981237233565062</v>
      </c>
      <c r="D420" s="71" t="n">
        <f aca="false">B420-A420*(1-C420)</f>
        <v>0.00683452208638428</v>
      </c>
    </row>
    <row r="421" customFormat="false" ht="15" hidden="false" customHeight="true" outlineLevel="0" collapsed="false">
      <c r="A421" s="70" t="n">
        <v>2.085</v>
      </c>
      <c r="B421" s="71" t="n">
        <f aca="false">_xlfn.NORM.S.DIST(A421,FALSE())</f>
        <v>0.045386025340374</v>
      </c>
      <c r="C421" s="71" t="n">
        <f aca="false">_xlfn.NORM.S.DIST(A421,TRUE())</f>
        <v>0.981465349733307</v>
      </c>
      <c r="D421" s="71" t="n">
        <f aca="false">B421-A421*(1-C421)</f>
        <v>0.00674127953431911</v>
      </c>
    </row>
    <row r="422" customFormat="false" ht="15" hidden="false" customHeight="true" outlineLevel="0" collapsed="false">
      <c r="A422" s="70" t="n">
        <v>2.09</v>
      </c>
      <c r="B422" s="71" t="n">
        <f aca="false">_xlfn.NORM.S.DIST(A422,FALSE())</f>
        <v>0.0449147723307671</v>
      </c>
      <c r="C422" s="71" t="n">
        <f aca="false">_xlfn.NORM.S.DIST(A422,TRUE())</f>
        <v>0.981691100148341</v>
      </c>
      <c r="D422" s="71" t="n">
        <f aca="false">B422-A422*(1-C422)</f>
        <v>0.00664917164079989</v>
      </c>
    </row>
    <row r="423" customFormat="false" ht="15" hidden="false" customHeight="true" outlineLevel="0" collapsed="false">
      <c r="A423" s="70" t="n">
        <v>2.095</v>
      </c>
      <c r="B423" s="71" t="n">
        <f aca="false">_xlfn.NORM.S.DIST(A423,FALSE())</f>
        <v>0.0444473012476199</v>
      </c>
      <c r="C423" s="71" t="n">
        <f aca="false">_xlfn.NORM.S.DIST(A423,TRUE())</f>
        <v>0.981914503759832</v>
      </c>
      <c r="D423" s="71" t="n">
        <f aca="false">B423-A423*(1-C423)</f>
        <v>0.00655818662446777</v>
      </c>
    </row>
    <row r="424" customFormat="false" ht="15" hidden="false" customHeight="true" outlineLevel="0" collapsed="false">
      <c r="A424" s="70" t="n">
        <v>2.1</v>
      </c>
      <c r="B424" s="71" t="n">
        <f aca="false">_xlfn.NORM.S.DIST(A424,FALSE())</f>
        <v>0.0439835959804272</v>
      </c>
      <c r="C424" s="71" t="n">
        <f aca="false">_xlfn.NORM.S.DIST(A424,TRUE())</f>
        <v>0.982135579437183</v>
      </c>
      <c r="D424" s="71" t="n">
        <f aca="false">B424-A424*(1-C424)</f>
        <v>0.00646831279851241</v>
      </c>
    </row>
    <row r="425" customFormat="false" ht="15" hidden="false" customHeight="true" outlineLevel="0" collapsed="false">
      <c r="A425" s="70" t="n">
        <v>2.105</v>
      </c>
      <c r="B425" s="71" t="n">
        <f aca="false">_xlfn.NORM.S.DIST(A425,FALSE())</f>
        <v>0.0435236403056012</v>
      </c>
      <c r="C425" s="71" t="n">
        <f aca="false">_xlfn.NORM.S.DIST(A425,TRUE())</f>
        <v>0.982354345968963</v>
      </c>
      <c r="D425" s="71" t="n">
        <f aca="false">B425-A425*(1-C425)</f>
        <v>0.00637953857026832</v>
      </c>
    </row>
    <row r="426" customFormat="false" ht="15" hidden="false" customHeight="true" outlineLevel="0" collapsed="false">
      <c r="A426" s="70" t="n">
        <v>2.11</v>
      </c>
      <c r="B426" s="71" t="n">
        <f aca="false">_xlfn.NORM.S.DIST(A426,FALSE())</f>
        <v>0.0430674178892657</v>
      </c>
      <c r="C426" s="71" t="n">
        <f aca="false">_xlfn.NORM.S.DIST(A426,TRUE())</f>
        <v>0.982570822062343</v>
      </c>
      <c r="D426" s="71" t="n">
        <f aca="false">B426-A426*(1-C426)</f>
        <v>0.0062918524408093</v>
      </c>
    </row>
    <row r="427" customFormat="false" ht="15" hidden="false" customHeight="true" outlineLevel="0" collapsed="false">
      <c r="A427" s="70" t="n">
        <v>2.115</v>
      </c>
      <c r="B427" s="71" t="n">
        <f aca="false">_xlfn.NORM.S.DIST(A427,FALSE())</f>
        <v>0.0426149122900338</v>
      </c>
      <c r="C427" s="71" t="n">
        <f aca="false">_xlfn.NORM.S.DIST(A427,TRUE())</f>
        <v>0.982785026342557</v>
      </c>
      <c r="D427" s="71" t="n">
        <f aca="false">B427-A427*(1-C427)</f>
        <v>0.00620524300454096</v>
      </c>
    </row>
    <row r="428" customFormat="false" ht="15" hidden="false" customHeight="true" outlineLevel="0" collapsed="false">
      <c r="A428" s="70" t="n">
        <v>2.12</v>
      </c>
      <c r="B428" s="71" t="n">
        <f aca="false">_xlfn.NORM.S.DIST(A428,FALSE())</f>
        <v>0.0421661069617703</v>
      </c>
      <c r="C428" s="71" t="n">
        <f aca="false">_xlfn.NORM.S.DIST(A428,TRUE())</f>
        <v>0.982996977352367</v>
      </c>
      <c r="D428" s="71" t="n">
        <f aca="false">B428-A428*(1-C428)</f>
        <v>0.00611969894878886</v>
      </c>
    </row>
    <row r="429" customFormat="false" ht="15" hidden="false" customHeight="true" outlineLevel="0" collapsed="false">
      <c r="A429" s="70" t="n">
        <v>2.125</v>
      </c>
      <c r="B429" s="71" t="n">
        <f aca="false">_xlfn.NORM.S.DIST(A429,FALSE())</f>
        <v>0.0417209852563386</v>
      </c>
      <c r="C429" s="71" t="n">
        <f aca="false">_xlfn.NORM.S.DIST(A429,TRUE())</f>
        <v>0.983206693551551</v>
      </c>
      <c r="D429" s="71" t="n">
        <f aca="false">B429-A429*(1-C429)</f>
        <v>0.00603520905338494</v>
      </c>
    </row>
    <row r="430" customFormat="false" ht="15" hidden="false" customHeight="true" outlineLevel="0" collapsed="false">
      <c r="A430" s="70" t="n">
        <v>2.13</v>
      </c>
      <c r="B430" s="71" t="n">
        <f aca="false">_xlfn.NORM.S.DIST(A430,FALSE())</f>
        <v>0.0412795304263304</v>
      </c>
      <c r="C430" s="71" t="n">
        <f aca="false">_xlfn.NORM.S.DIST(A430,TRUE())</f>
        <v>0.983414193316395</v>
      </c>
      <c r="D430" s="71" t="n">
        <f aca="false">B430-A430*(1-C430)</f>
        <v>0.00595176219025181</v>
      </c>
    </row>
    <row r="431" customFormat="false" ht="15" hidden="false" customHeight="true" outlineLevel="0" collapsed="false">
      <c r="A431" s="70" t="n">
        <v>2.135</v>
      </c>
      <c r="B431" s="71" t="n">
        <f aca="false">_xlfn.NORM.S.DIST(A431,FALSE())</f>
        <v>0.0408417256277798</v>
      </c>
      <c r="C431" s="71" t="n">
        <f aca="false">_xlfn.NORM.S.DIST(A431,TRUE())</f>
        <v>0.983619494939205</v>
      </c>
      <c r="D431" s="71" t="n">
        <f aca="false">B431-A431*(1-C431)</f>
        <v>0.00586934732298338</v>
      </c>
    </row>
    <row r="432" customFormat="false" ht="15" hidden="false" customHeight="true" outlineLevel="0" collapsed="false">
      <c r="A432" s="70" t="n">
        <v>2.14</v>
      </c>
      <c r="B432" s="71" t="n">
        <f aca="false">_xlfn.NORM.S.DIST(A432,FALSE())</f>
        <v>0.0404075539228603</v>
      </c>
      <c r="C432" s="71" t="n">
        <f aca="false">_xlfn.NORM.S.DIST(A432,TRUE())</f>
        <v>0.983822616627834</v>
      </c>
      <c r="D432" s="71" t="n">
        <f aca="false">B432-A432*(1-C432)</f>
        <v>0.00578795350642481</v>
      </c>
    </row>
    <row r="433" customFormat="false" ht="15" hidden="false" customHeight="true" outlineLevel="0" collapsed="false">
      <c r="A433" s="70" t="n">
        <v>2.145</v>
      </c>
      <c r="B433" s="71" t="n">
        <f aca="false">_xlfn.NORM.S.DIST(A433,FALSE())</f>
        <v>0.0399769982825651</v>
      </c>
      <c r="C433" s="71" t="n">
        <f aca="false">_xlfn.NORM.S.DIST(A433,TRUE())</f>
        <v>0.984023576505213</v>
      </c>
      <c r="D433" s="71" t="n">
        <f aca="false">B433-A433*(1-C433)</f>
        <v>0.00570756988624772</v>
      </c>
    </row>
    <row r="434" customFormat="false" ht="15" hidden="false" customHeight="true" outlineLevel="0" collapsed="false">
      <c r="A434" s="70" t="n">
        <v>2.15</v>
      </c>
      <c r="B434" s="71" t="n">
        <f aca="false">_xlfn.NORM.S.DIST(A434,FALSE())</f>
        <v>0.0395500415893702</v>
      </c>
      <c r="C434" s="71" t="n">
        <f aca="false">_xlfn.NORM.S.DIST(A434,TRUE())</f>
        <v>0.98422239260891</v>
      </c>
      <c r="D434" s="71" t="n">
        <f aca="false">B434-A434*(1-C434)</f>
        <v>0.00562818569852572</v>
      </c>
    </row>
    <row r="435" customFormat="false" ht="15" hidden="false" customHeight="true" outlineLevel="0" collapsed="false">
      <c r="A435" s="70" t="n">
        <v>2.155</v>
      </c>
      <c r="B435" s="71" t="n">
        <f aca="false">_xlfn.NORM.S.DIST(A435,FALSE())</f>
        <v>0.03912666663988</v>
      </c>
      <c r="C435" s="71" t="n">
        <f aca="false">_xlfn.NORM.S.DIST(A435,TRUE())</f>
        <v>0.984419082890685</v>
      </c>
      <c r="D435" s="71" t="n">
        <f aca="false">B435-A435*(1-C435)</f>
        <v>0.00554979026930528</v>
      </c>
    </row>
    <row r="436" customFormat="false" ht="15" hidden="false" customHeight="true" outlineLevel="0" collapsed="false">
      <c r="A436" s="70" t="n">
        <v>2.16</v>
      </c>
      <c r="B436" s="71" t="n">
        <f aca="false">_xlfn.NORM.S.DIST(A436,FALSE())</f>
        <v>0.0387068561474556</v>
      </c>
      <c r="C436" s="71" t="n">
        <f aca="false">_xlfn.NORM.S.DIST(A436,TRUE())</f>
        <v>0.984613665216075</v>
      </c>
      <c r="D436" s="71" t="n">
        <f aca="false">B436-A436*(1-C436)</f>
        <v>0.00547237301417657</v>
      </c>
    </row>
    <row r="437" customFormat="false" ht="15" hidden="false" customHeight="true" outlineLevel="0" collapsed="false">
      <c r="A437" s="70" t="n">
        <v>2.165</v>
      </c>
      <c r="B437" s="71" t="n">
        <f aca="false">_xlfn.NORM.S.DIST(A437,FALSE())</f>
        <v>0.0382905927448255</v>
      </c>
      <c r="C437" s="71" t="n">
        <f aca="false">_xlfn.NORM.S.DIST(A437,TRUE())</f>
        <v>0.98480615736398</v>
      </c>
      <c r="D437" s="71" t="n">
        <f aca="false">B437-A437*(1-C437)</f>
        <v>0.00539592343784149</v>
      </c>
    </row>
    <row r="438" customFormat="false" ht="15" hidden="false" customHeight="true" outlineLevel="0" collapsed="false">
      <c r="A438" s="70" t="n">
        <v>2.17</v>
      </c>
      <c r="B438" s="71" t="n">
        <f aca="false">_xlfn.NORM.S.DIST(A438,FALSE())</f>
        <v>0.0378778589866775</v>
      </c>
      <c r="C438" s="71" t="n">
        <f aca="false">_xlfn.NORM.S.DIST(A438,TRUE())</f>
        <v>0.984996577026268</v>
      </c>
      <c r="D438" s="71" t="n">
        <f aca="false">B438-A438*(1-C438)</f>
        <v>0.0053204311336785</v>
      </c>
    </row>
    <row r="439" customFormat="false" ht="15" hidden="false" customHeight="true" outlineLevel="0" collapsed="false">
      <c r="A439" s="70" t="n">
        <v>2.175</v>
      </c>
      <c r="B439" s="71" t="n">
        <f aca="false">_xlfn.NORM.S.DIST(A439,FALSE())</f>
        <v>0.0374686373522338</v>
      </c>
      <c r="C439" s="71" t="n">
        <f aca="false">_xlfn.NORM.S.DIST(A439,TRUE())</f>
        <v>0.98518494180739</v>
      </c>
      <c r="D439" s="71" t="n">
        <f aca="false">B439-A439*(1-C439)</f>
        <v>0.00524588578330735</v>
      </c>
    </row>
    <row r="440" customFormat="false" ht="15" hidden="false" customHeight="true" outlineLevel="0" collapsed="false">
      <c r="A440" s="70" t="n">
        <v>2.18</v>
      </c>
      <c r="B440" s="71" t="n">
        <f aca="false">_xlfn.NORM.S.DIST(A440,FALSE())</f>
        <v>0.0370629102478065</v>
      </c>
      <c r="C440" s="71" t="n">
        <f aca="false">_xlfn.NORM.S.DIST(A440,TRUE())</f>
        <v>0.985371269224011</v>
      </c>
      <c r="D440" s="71" t="n">
        <f aca="false">B440-A440*(1-C440)</f>
        <v>0.0051722771561499</v>
      </c>
    </row>
    <row r="441" customFormat="false" ht="15" hidden="false" customHeight="true" outlineLevel="0" collapsed="false">
      <c r="A441" s="70" t="n">
        <v>2.185</v>
      </c>
      <c r="B441" s="71" t="n">
        <f aca="false">_xlfn.NORM.S.DIST(A441,FALSE())</f>
        <v>0.0366606600093353</v>
      </c>
      <c r="C441" s="71" t="n">
        <f aca="false">_xlfn.NORM.S.DIST(A441,TRUE())</f>
        <v>0.985555576704649</v>
      </c>
      <c r="D441" s="71" t="n">
        <f aca="false">B441-A441*(1-C441)</f>
        <v>0.00509959510899235</v>
      </c>
    </row>
    <row r="442" customFormat="false" ht="15" hidden="false" customHeight="true" outlineLevel="0" collapsed="false">
      <c r="A442" s="70" t="n">
        <v>2.19</v>
      </c>
      <c r="B442" s="71" t="n">
        <f aca="false">_xlfn.NORM.S.DIST(A442,FALSE())</f>
        <v>0.0362618689049062</v>
      </c>
      <c r="C442" s="71" t="n">
        <f aca="false">_xlfn.NORM.S.DIST(A442,TRUE())</f>
        <v>0.985737881589331</v>
      </c>
      <c r="D442" s="71" t="n">
        <f aca="false">B442-A442*(1-C442)</f>
        <v>0.0050278295855415</v>
      </c>
    </row>
    <row r="443" customFormat="false" ht="15" hidden="false" customHeight="true" outlineLevel="0" collapsed="false">
      <c r="A443" s="70" t="n">
        <v>2.195</v>
      </c>
      <c r="B443" s="71" t="n">
        <f aca="false">_xlfn.NORM.S.DIST(A443,FALSE())</f>
        <v>0.0358665191372517</v>
      </c>
      <c r="C443" s="71" t="n">
        <f aca="false">_xlfn.NORM.S.DIST(A443,TRUE())</f>
        <v>0.985918201129262</v>
      </c>
      <c r="D443" s="71" t="n">
        <f aca="false">B443-A443*(1-C443)</f>
        <v>0.00495697061598253</v>
      </c>
    </row>
    <row r="444" customFormat="false" ht="15" hidden="false" customHeight="true" outlineLevel="0" collapsed="false">
      <c r="A444" s="70" t="n">
        <v>2.2</v>
      </c>
      <c r="B444" s="71" t="n">
        <f aca="false">_xlfn.NORM.S.DIST(A444,FALSE())</f>
        <v>0.0354745928462314</v>
      </c>
      <c r="C444" s="71" t="n">
        <f aca="false">_xlfn.NORM.S.DIST(A444,TRUE())</f>
        <v>0.986096552486501</v>
      </c>
      <c r="D444" s="71" t="n">
        <f aca="false">B444-A444*(1-C444)</f>
        <v>0.00488700831653452</v>
      </c>
    </row>
    <row r="445" customFormat="false" ht="15" hidden="false" customHeight="true" outlineLevel="0" collapsed="false">
      <c r="A445" s="70" t="n">
        <v>2.205</v>
      </c>
      <c r="B445" s="71" t="n">
        <f aca="false">_xlfn.NORM.S.DIST(A445,FALSE())</f>
        <v>0.0350860721112939</v>
      </c>
      <c r="C445" s="71" t="n">
        <f aca="false">_xlfn.NORM.S.DIST(A445,TRUE())</f>
        <v>0.986272952733655</v>
      </c>
      <c r="D445" s="71" t="n">
        <f aca="false">B445-A445*(1-C445)</f>
        <v>0.00481793288900242</v>
      </c>
    </row>
    <row r="446" customFormat="false" ht="15" hidden="false" customHeight="true" outlineLevel="0" collapsed="false">
      <c r="A446" s="70" t="n">
        <v>2.21</v>
      </c>
      <c r="B446" s="71" t="n">
        <f aca="false">_xlfn.NORM.S.DIST(A446,FALSE())</f>
        <v>0.0347009389539188</v>
      </c>
      <c r="C446" s="71" t="n">
        <f aca="false">_xlfn.NORM.S.DIST(A446,TRUE())</f>
        <v>0.98644741885358</v>
      </c>
      <c r="D446" s="71" t="n">
        <f aca="false">B446-A446*(1-C446)</f>
        <v>0.00474973462033063</v>
      </c>
    </row>
    <row r="447" customFormat="false" ht="15" hidden="false" customHeight="true" outlineLevel="0" collapsed="false">
      <c r="A447" s="70" t="n">
        <v>2.215</v>
      </c>
      <c r="B447" s="71" t="n">
        <f aca="false">_xlfn.NORM.S.DIST(A447,FALSE())</f>
        <v>0.0343191753400402</v>
      </c>
      <c r="C447" s="71" t="n">
        <f aca="false">_xlfn.NORM.S.DIST(A447,TRUE())</f>
        <v>0.986619967739103</v>
      </c>
      <c r="D447" s="71" t="n">
        <f aca="false">B447-A447*(1-C447)</f>
        <v>0.00468240388215261</v>
      </c>
    </row>
    <row r="448" customFormat="false" ht="15" hidden="false" customHeight="true" outlineLevel="0" collapsed="false">
      <c r="A448" s="70" t="n">
        <v>2.22</v>
      </c>
      <c r="B448" s="71" t="n">
        <f aca="false">_xlfn.NORM.S.DIST(A448,FALSE())</f>
        <v>0.0339407631824492</v>
      </c>
      <c r="C448" s="71" t="n">
        <f aca="false">_xlfn.NORM.S.DIST(A448,TRUE())</f>
        <v>0.986790616192744</v>
      </c>
      <c r="D448" s="71" t="n">
        <f aca="false">B448-A448*(1-C448)</f>
        <v>0.00461593113034036</v>
      </c>
    </row>
    <row r="449" customFormat="false" ht="15" hidden="false" customHeight="true" outlineLevel="0" collapsed="false">
      <c r="A449" s="70" t="n">
        <v>2.225</v>
      </c>
      <c r="B449" s="71" t="n">
        <f aca="false">_xlfn.NORM.S.DIST(A449,FALSE())</f>
        <v>0.0335656843431776</v>
      </c>
      <c r="C449" s="71" t="n">
        <f aca="false">_xlfn.NORM.S.DIST(A449,TRUE())</f>
        <v>0.98695938092646</v>
      </c>
      <c r="D449" s="71" t="n">
        <f aca="false">B449-A449*(1-C449)</f>
        <v>0.00455030690455195</v>
      </c>
    </row>
    <row r="450" customFormat="false" ht="15" hidden="false" customHeight="true" outlineLevel="0" collapsed="false">
      <c r="A450" s="70" t="n">
        <v>2.23</v>
      </c>
      <c r="B450" s="71" t="n">
        <f aca="false">_xlfn.NORM.S.DIST(A450,FALSE())</f>
        <v>0.0331939206358611</v>
      </c>
      <c r="C450" s="71" t="n">
        <f aca="false">_xlfn.NORM.S.DIST(A450,TRUE())</f>
        <v>0.987126278561398</v>
      </c>
      <c r="D450" s="71" t="n">
        <f aca="false">B450-A450*(1-C450)</f>
        <v>0.00448552182777868</v>
      </c>
    </row>
    <row r="451" customFormat="false" ht="15" hidden="false" customHeight="true" outlineLevel="0" collapsed="false">
      <c r="A451" s="70" t="n">
        <v>2.235</v>
      </c>
      <c r="B451" s="71" t="n">
        <f aca="false">_xlfn.NORM.S.DIST(A451,FALSE())</f>
        <v>0.0328254538280832</v>
      </c>
      <c r="C451" s="71" t="n">
        <f aca="false">_xlfn.NORM.S.DIST(A451,TRUE())</f>
        <v>0.987291325627654</v>
      </c>
      <c r="D451" s="71" t="n">
        <f aca="false">B451-A451*(1-C451)</f>
        <v>0.00442156660588981</v>
      </c>
    </row>
    <row r="452" customFormat="false" ht="15" hidden="false" customHeight="true" outlineLevel="0" collapsed="false">
      <c r="A452" s="70" t="n">
        <v>2.24</v>
      </c>
      <c r="B452" s="71" t="n">
        <f aca="false">_xlfn.NORM.S.DIST(A452,FALSE())</f>
        <v>0.0324602656436974</v>
      </c>
      <c r="C452" s="71" t="n">
        <f aca="false">_xlfn.NORM.S.DIST(A452,TRUE())</f>
        <v>0.987454538564053</v>
      </c>
      <c r="D452" s="71" t="n">
        <f aca="false">B452-A452*(1-C452)</f>
        <v>0.00435843202717708</v>
      </c>
    </row>
    <row r="453" customFormat="false" ht="15" hidden="false" customHeight="true" outlineLevel="0" collapsed="false">
      <c r="A453" s="70" t="n">
        <v>2.245</v>
      </c>
      <c r="B453" s="71" t="n">
        <f aca="false">_xlfn.NORM.S.DIST(A453,FALSE())</f>
        <v>0.0320983377651312</v>
      </c>
      <c r="C453" s="71" t="n">
        <f aca="false">_xlfn.NORM.S.DIST(A453,TRUE())</f>
        <v>0.987615933717936</v>
      </c>
      <c r="D453" s="71" t="n">
        <f aca="false">B453-A453*(1-C453)</f>
        <v>0.004296108961898</v>
      </c>
    </row>
    <row r="454" customFormat="false" ht="15" hidden="false" customHeight="true" outlineLevel="0" collapsed="false">
      <c r="A454" s="70" t="n">
        <v>2.25</v>
      </c>
      <c r="B454" s="71" t="n">
        <f aca="false">_xlfn.NORM.S.DIST(A454,FALSE())</f>
        <v>0.0317396518356674</v>
      </c>
      <c r="C454" s="71" t="n">
        <f aca="false">_xlfn.NORM.S.DIST(A454,TRUE())</f>
        <v>0.987775527344955</v>
      </c>
      <c r="D454" s="71" t="n">
        <f aca="false">B454-A454*(1-C454)</f>
        <v>0.00423458836181691</v>
      </c>
    </row>
    <row r="455" customFormat="false" ht="15" hidden="false" customHeight="true" outlineLevel="0" collapsed="false">
      <c r="A455" s="70" t="n">
        <v>2.255</v>
      </c>
      <c r="B455" s="71" t="n">
        <f aca="false">_xlfn.NORM.S.DIST(A455,FALSE())</f>
        <v>0.0313841894617066</v>
      </c>
      <c r="C455" s="71" t="n">
        <f aca="false">_xlfn.NORM.S.DIST(A455,TRUE())</f>
        <v>0.987933335608887</v>
      </c>
      <c r="D455" s="71" t="n">
        <f aca="false">B455-A455*(1-C455)</f>
        <v>0.0041738612597475</v>
      </c>
    </row>
    <row r="456" customFormat="false" ht="15" hidden="false" customHeight="true" outlineLevel="0" collapsed="false">
      <c r="A456" s="70" t="n">
        <v>2.26</v>
      </c>
      <c r="B456" s="71" t="n">
        <f aca="false">_xlfn.NORM.S.DIST(A456,FALSE())</f>
        <v>0.0310319322150083</v>
      </c>
      <c r="C456" s="71" t="n">
        <f aca="false">_xlfn.NORM.S.DIST(A456,TRUE())</f>
        <v>0.988089374581453</v>
      </c>
      <c r="D456" s="71" t="n">
        <f aca="false">B456-A456*(1-C456)</f>
        <v>0.00411391876909197</v>
      </c>
    </row>
    <row r="457" customFormat="false" ht="15" hidden="false" customHeight="true" outlineLevel="0" collapsed="false">
      <c r="A457" s="70" t="n">
        <v>2.265</v>
      </c>
      <c r="B457" s="71" t="n">
        <f aca="false">_xlfn.NORM.S.DIST(A457,FALSE())</f>
        <v>0.0306828616349108</v>
      </c>
      <c r="C457" s="71" t="n">
        <f aca="false">_xlfn.NORM.S.DIST(A457,TRUE())</f>
        <v>0.98824366024215</v>
      </c>
      <c r="D457" s="71" t="n">
        <f aca="false">B457-A457*(1-C457)</f>
        <v>0.00405475208338067</v>
      </c>
    </row>
    <row r="458" customFormat="false" ht="15" hidden="false" customHeight="true" outlineLevel="0" collapsed="false">
      <c r="A458" s="70" t="n">
        <v>2.27</v>
      </c>
      <c r="B458" s="71" t="n">
        <f aca="false">_xlfn.NORM.S.DIST(A458,FALSE())</f>
        <v>0.0303369592305316</v>
      </c>
      <c r="C458" s="71" t="n">
        <f aca="false">_xlfn.NORM.S.DIST(A458,TRUE())</f>
        <v>0.988396208478097</v>
      </c>
      <c r="D458" s="71" t="n">
        <f aca="false">B458-A458*(1-C458)</f>
        <v>0.00399635247581071</v>
      </c>
    </row>
    <row r="459" customFormat="false" ht="15" hidden="false" customHeight="true" outlineLevel="0" collapsed="false">
      <c r="A459" s="70" t="n">
        <v>2.275</v>
      </c>
      <c r="B459" s="71" t="n">
        <f aca="false">_xlfn.NORM.S.DIST(A459,FALSE())</f>
        <v>0.0299942064829453</v>
      </c>
      <c r="C459" s="71" t="n">
        <f aca="false">_xlfn.NORM.S.DIST(A459,TRUE())</f>
        <v>0.988547035083885</v>
      </c>
      <c r="D459" s="71" t="n">
        <f aca="false">B459-A459*(1-C459)</f>
        <v>0.00393871129878312</v>
      </c>
    </row>
    <row r="460" customFormat="false" ht="15" hidden="false" customHeight="true" outlineLevel="0" collapsed="false">
      <c r="A460" s="70" t="n">
        <v>2.28</v>
      </c>
      <c r="B460" s="71" t="n">
        <f aca="false">_xlfn.NORM.S.DIST(A460,FALSE())</f>
        <v>0.0296545848473413</v>
      </c>
      <c r="C460" s="71" t="n">
        <f aca="false">_xlfn.NORM.S.DIST(A460,TRUE())</f>
        <v>0.988696155761447</v>
      </c>
      <c r="D460" s="71" t="n">
        <f aca="false">B460-A460*(1-C460)</f>
        <v>0.00388181998344091</v>
      </c>
    </row>
    <row r="461" customFormat="false" ht="15" hidden="false" customHeight="true" outlineLevel="0" collapsed="false">
      <c r="A461" s="70" t="n">
        <v>2.285</v>
      </c>
      <c r="B461" s="71" t="n">
        <f aca="false">_xlfn.NORM.S.DIST(A461,FALSE())</f>
        <v>0.0293180757551603</v>
      </c>
      <c r="C461" s="71" t="n">
        <f aca="false">_xlfn.NORM.S.DIST(A461,TRUE())</f>
        <v>0.988843586119932</v>
      </c>
      <c r="D461" s="71" t="n">
        <f aca="false">B461-A461*(1-C461)</f>
        <v>0.00382567003920425</v>
      </c>
    </row>
    <row r="462" customFormat="false" ht="15" hidden="false" customHeight="true" outlineLevel="0" collapsed="false">
      <c r="A462" s="70" t="n">
        <v>2.29</v>
      </c>
      <c r="B462" s="71" t="n">
        <f aca="false">_xlfn.NORM.S.DIST(A462,FALSE())</f>
        <v>0.0289846606162094</v>
      </c>
      <c r="C462" s="71" t="n">
        <f aca="false">_xlfn.NORM.S.DIST(A462,TRUE())</f>
        <v>0.988989341675589</v>
      </c>
      <c r="D462" s="71" t="n">
        <f aca="false">B462-A462*(1-C462)</f>
        <v>0.00377025305330733</v>
      </c>
    </row>
    <row r="463" customFormat="false" ht="15" hidden="false" customHeight="true" outlineLevel="0" collapsed="false">
      <c r="A463" s="70" t="n">
        <v>2.295</v>
      </c>
      <c r="B463" s="71" t="n">
        <f aca="false">_xlfn.NORM.S.DIST(A463,FALSE())</f>
        <v>0.0286543208207563</v>
      </c>
      <c r="C463" s="71" t="n">
        <f aca="false">_xlfn.NORM.S.DIST(A463,TRUE())</f>
        <v>0.989133437851667</v>
      </c>
      <c r="D463" s="71" t="n">
        <f aca="false">B463-A463*(1-C463)</f>
        <v>0.00371556069033271</v>
      </c>
    </row>
    <row r="464" customFormat="false" ht="15" hidden="false" customHeight="true" outlineLevel="0" collapsed="false">
      <c r="A464" s="70" t="n">
        <v>2.3</v>
      </c>
      <c r="B464" s="71" t="n">
        <f aca="false">_xlfn.NORM.S.DIST(A464,FALSE())</f>
        <v>0.0283270377416012</v>
      </c>
      <c r="C464" s="71" t="n">
        <f aca="false">_xlfn.NORM.S.DIST(A464,TRUE())</f>
        <v>0.989275889978324</v>
      </c>
      <c r="D464" s="71" t="n">
        <f aca="false">B464-A464*(1-C464)</f>
        <v>0.00366158469174677</v>
      </c>
    </row>
    <row r="465" customFormat="false" ht="15" hidden="false" customHeight="true" outlineLevel="0" collapsed="false">
      <c r="A465" s="70" t="n">
        <v>2.305</v>
      </c>
      <c r="B465" s="71" t="n">
        <f aca="false">_xlfn.NORM.S.DIST(A465,FALSE())</f>
        <v>0.0280027927361286</v>
      </c>
      <c r="C465" s="71" t="n">
        <f aca="false">_xlfn.NORM.S.DIST(A465,TRUE())</f>
        <v>0.98941671329254</v>
      </c>
      <c r="D465" s="71" t="n">
        <f aca="false">B465-A465*(1-C465)</f>
        <v>0.00360831687543379</v>
      </c>
    </row>
    <row r="466" customFormat="false" ht="15" hidden="false" customHeight="true" outlineLevel="0" collapsed="false">
      <c r="A466" s="70" t="n">
        <v>2.31</v>
      </c>
      <c r="B466" s="71" t="n">
        <f aca="false">_xlfn.NORM.S.DIST(A466,FALSE())</f>
        <v>0.0276815671483366</v>
      </c>
      <c r="C466" s="71" t="n">
        <f aca="false">_xlfn.NORM.S.DIST(A466,TRUE())</f>
        <v>0.989555922938049</v>
      </c>
      <c r="D466" s="71" t="n">
        <f aca="false">B466-A466*(1-C466)</f>
        <v>0.00355574913522964</v>
      </c>
    </row>
    <row r="467" customFormat="false" ht="15" hidden="false" customHeight="true" outlineLevel="0" collapsed="false">
      <c r="A467" s="70" t="n">
        <v>2.315</v>
      </c>
      <c r="B467" s="71" t="n">
        <f aca="false">_xlfn.NORM.S.DIST(A467,FALSE())</f>
        <v>0.027363342310845</v>
      </c>
      <c r="C467" s="71" t="n">
        <f aca="false">_xlfn.NORM.S.DIST(A467,TRUE())</f>
        <v>0.989693533965275</v>
      </c>
      <c r="D467" s="71" t="n">
        <f aca="false">B467-A467*(1-C467)</f>
        <v>0.00350387344045565</v>
      </c>
    </row>
    <row r="468" customFormat="false" ht="15" hidden="false" customHeight="true" outlineLevel="0" collapsed="false">
      <c r="A468" s="70" t="n">
        <v>2.32</v>
      </c>
      <c r="B468" s="71" t="n">
        <f aca="false">_xlfn.NORM.S.DIST(A468,FALSE())</f>
        <v>0.0270480995468818</v>
      </c>
      <c r="C468" s="71" t="n">
        <f aca="false">_xlfn.NORM.S.DIST(A468,TRUE())</f>
        <v>0.98982956133128</v>
      </c>
      <c r="D468" s="71" t="n">
        <f aca="false">B468-A468*(1-C468)</f>
        <v>0.0034526818354521</v>
      </c>
    </row>
    <row r="469" customFormat="false" ht="15" hidden="false" customHeight="true" outlineLevel="0" collapsed="false">
      <c r="A469" s="70" t="n">
        <v>2.325</v>
      </c>
      <c r="B469" s="71" t="n">
        <f aca="false">_xlfn.NORM.S.DIST(A469,FALSE())</f>
        <v>0.0267358201722482</v>
      </c>
      <c r="C469" s="71" t="n">
        <f aca="false">_xlfn.NORM.S.DIST(A469,TRUE())</f>
        <v>0.989964019899726</v>
      </c>
      <c r="D469" s="71" t="n">
        <f aca="false">B469-A469*(1-C469)</f>
        <v>0.00340216643911102</v>
      </c>
    </row>
    <row r="470" customFormat="false" ht="15" hidden="false" customHeight="true" outlineLevel="0" collapsed="false">
      <c r="A470" s="70" t="n">
        <v>2.33</v>
      </c>
      <c r="B470" s="71" t="n">
        <f aca="false">_xlfn.NORM.S.DIST(A470,FALSE())</f>
        <v>0.0264264854972617</v>
      </c>
      <c r="C470" s="71" t="n">
        <f aca="false">_xlfn.NORM.S.DIST(A470,TRUE())</f>
        <v>0.990096924440836</v>
      </c>
      <c r="D470" s="71" t="n">
        <f aca="false">B470-A470*(1-C470)</f>
        <v>0.00335231944440901</v>
      </c>
    </row>
    <row r="471" customFormat="false" ht="15" hidden="false" customHeight="true" outlineLevel="0" collapsed="false">
      <c r="A471" s="70" t="n">
        <v>2.335</v>
      </c>
      <c r="B471" s="71" t="n">
        <f aca="false">_xlfn.NORM.S.DIST(A471,FALSE())</f>
        <v>0.0261200768286774</v>
      </c>
      <c r="C471" s="71" t="n">
        <f aca="false">_xlfn.NORM.S.DIST(A471,TRUE())</f>
        <v>0.990228289631376</v>
      </c>
      <c r="D471" s="71" t="n">
        <f aca="false">B471-A471*(1-C471)</f>
        <v>0.00330313311794033</v>
      </c>
    </row>
    <row r="472" customFormat="false" ht="15" hidden="false" customHeight="true" outlineLevel="0" collapsed="false">
      <c r="A472" s="70" t="n">
        <v>2.34</v>
      </c>
      <c r="B472" s="71" t="n">
        <f aca="false">_xlfn.NORM.S.DIST(A472,FALSE())</f>
        <v>0.0258165754715877</v>
      </c>
      <c r="C472" s="71" t="n">
        <f aca="false">_xlfn.NORM.S.DIST(A472,TRUE())</f>
        <v>0.990358130054642</v>
      </c>
      <c r="D472" s="71" t="n">
        <f aca="false">B472-A472*(1-C472)</f>
        <v>0.00325459979944923</v>
      </c>
    </row>
    <row r="473" customFormat="false" ht="15" hidden="false" customHeight="true" outlineLevel="0" collapsed="false">
      <c r="A473" s="70" t="n">
        <v>2.345</v>
      </c>
      <c r="B473" s="71" t="n">
        <f aca="false">_xlfn.NORM.S.DIST(A473,FALSE())</f>
        <v>0.0255159627313003</v>
      </c>
      <c r="C473" s="71" t="n">
        <f aca="false">_xlfn.NORM.S.DIST(A473,TRUE())</f>
        <v>0.990486460200453</v>
      </c>
      <c r="D473" s="71" t="n">
        <f aca="false">B473-A473*(1-C473)</f>
        <v>0.00320671190136276</v>
      </c>
    </row>
    <row r="474" customFormat="false" ht="15" hidden="false" customHeight="true" outlineLevel="0" collapsed="false">
      <c r="A474" s="70" t="n">
        <v>2.35</v>
      </c>
      <c r="B474" s="71" t="n">
        <f aca="false">_xlfn.NORM.S.DIST(A474,FALSE())</f>
        <v>0.0252182199151944</v>
      </c>
      <c r="C474" s="71" t="n">
        <f aca="false">_xlfn.NORM.S.DIST(A474,TRUE())</f>
        <v>0.990613294465161</v>
      </c>
      <c r="D474" s="71" t="n">
        <f aca="false">B474-A474*(1-C474)</f>
        <v>0.00315946190832377</v>
      </c>
    </row>
    <row r="475" customFormat="false" ht="15" hidden="false" customHeight="true" outlineLevel="0" collapsed="false">
      <c r="A475" s="70" t="n">
        <v>2.355</v>
      </c>
      <c r="B475" s="71" t="n">
        <f aca="false">_xlfn.NORM.S.DIST(A475,FALSE())</f>
        <v>0.0249233283345543</v>
      </c>
      <c r="C475" s="71" t="n">
        <f aca="false">_xlfn.NORM.S.DIST(A475,TRUE())</f>
        <v>0.990738647151664</v>
      </c>
      <c r="D475" s="71" t="n">
        <f aca="false">B475-A475*(1-C475)</f>
        <v>0.00311284237672262</v>
      </c>
    </row>
    <row r="476" customFormat="false" ht="15" hidden="false" customHeight="true" outlineLevel="0" collapsed="false">
      <c r="A476" s="70" t="n">
        <v>2.36</v>
      </c>
      <c r="B476" s="71" t="n">
        <f aca="false">_xlfn.NORM.S.DIST(A476,FALSE())</f>
        <v>0.0246312693063825</v>
      </c>
      <c r="C476" s="71" t="n">
        <f aca="false">_xlfn.NORM.S.DIST(A476,TRUE())</f>
        <v>0.990862532469427</v>
      </c>
      <c r="D476" s="71" t="n">
        <f aca="false">B476-A476*(1-C476)</f>
        <v>0.00306684593423105</v>
      </c>
    </row>
    <row r="477" customFormat="false" ht="15" hidden="false" customHeight="true" outlineLevel="0" collapsed="false">
      <c r="A477" s="70" t="n">
        <v>2.365</v>
      </c>
      <c r="B477" s="71" t="n">
        <f aca="false">_xlfn.NORM.S.DIST(A477,FALSE())</f>
        <v>0.0243420241551895</v>
      </c>
      <c r="C477" s="71" t="n">
        <f aca="false">_xlfn.NORM.S.DIST(A477,TRUE())</f>
        <v>0.990984964534522</v>
      </c>
      <c r="D477" s="71" t="n">
        <f aca="false">B477-A477*(1-C477)</f>
        <v>0.00302146527933434</v>
      </c>
    </row>
    <row r="478" customFormat="false" ht="15" hidden="false" customHeight="true" outlineLevel="0" collapsed="false">
      <c r="A478" s="70" t="n">
        <v>2.37</v>
      </c>
      <c r="B478" s="71" t="n">
        <f aca="false">_xlfn.NORM.S.DIST(A478,FALSE())</f>
        <v>0.024055574214763</v>
      </c>
      <c r="C478" s="71" t="n">
        <f aca="false">_xlfn.NORM.S.DIST(A478,TRUE())</f>
        <v>0.991105957369663</v>
      </c>
      <c r="D478" s="71" t="n">
        <f aca="false">B478-A478*(1-C478)</f>
        <v>0.00297669318086482</v>
      </c>
    </row>
    <row r="479" customFormat="false" ht="15" hidden="false" customHeight="true" outlineLevel="0" collapsed="false">
      <c r="A479" s="70" t="n">
        <v>2.375</v>
      </c>
      <c r="B479" s="71" t="n">
        <f aca="false">_xlfn.NORM.S.DIST(A479,FALSE())</f>
        <v>0.0237719008299138</v>
      </c>
      <c r="C479" s="71" t="n">
        <f aca="false">_xlfn.NORM.S.DIST(A479,TRUE())</f>
        <v>0.991225524904262</v>
      </c>
      <c r="D479" s="71" t="n">
        <f aca="false">B479-A479*(1-C479)</f>
        <v>0.00293252247753519</v>
      </c>
    </row>
    <row r="480" customFormat="false" ht="15" hidden="false" customHeight="true" outlineLevel="0" collapsed="false">
      <c r="A480" s="70" t="n">
        <v>2.38</v>
      </c>
      <c r="B480" s="71" t="n">
        <f aca="false">_xlfn.NORM.S.DIST(A480,FALSE())</f>
        <v>0.0234909853582014</v>
      </c>
      <c r="C480" s="71" t="n">
        <f aca="false">_xlfn.NORM.S.DIST(A480,TRUE())</f>
        <v>0.991343680974483</v>
      </c>
      <c r="D480" s="71" t="n">
        <f aca="false">B480-A480*(1-C480)</f>
        <v>0.00288894607747196</v>
      </c>
    </row>
    <row r="481" customFormat="false" ht="15" hidden="false" customHeight="true" outlineLevel="0" collapsed="false">
      <c r="A481" s="70" t="n">
        <v>2.385</v>
      </c>
      <c r="B481" s="71" t="n">
        <f aca="false">_xlfn.NORM.S.DIST(A481,FALSE())</f>
        <v>0.0232128091716361</v>
      </c>
      <c r="C481" s="71" t="n">
        <f aca="false">_xlfn.NORM.S.DIST(A481,TRUE())</f>
        <v>0.991460439323318</v>
      </c>
      <c r="D481" s="71" t="n">
        <f aca="false">B481-A481*(1-C481)</f>
        <v>0.00284595695774946</v>
      </c>
    </row>
    <row r="482" customFormat="false" ht="15" hidden="false" customHeight="true" outlineLevel="0" collapsed="false">
      <c r="A482" s="70" t="n">
        <v>2.39</v>
      </c>
      <c r="B482" s="71" t="n">
        <f aca="false">_xlfn.NORM.S.DIST(A482,FALSE())</f>
        <v>0.0229373536583607</v>
      </c>
      <c r="C482" s="71" t="n">
        <f aca="false">_xlfn.NORM.S.DIST(A482,TRUE())</f>
        <v>0.991575813600654</v>
      </c>
      <c r="D482" s="71" t="n">
        <f aca="false">B482-A482*(1-C482)</f>
        <v>0.00280354816392441</v>
      </c>
    </row>
    <row r="483" customFormat="false" ht="15" hidden="false" customHeight="true" outlineLevel="0" collapsed="false">
      <c r="A483" s="70" t="n">
        <v>2.395</v>
      </c>
      <c r="B483" s="71" t="n">
        <f aca="false">_xlfn.NORM.S.DIST(A483,FALSE())</f>
        <v>0.0226646002243089</v>
      </c>
      <c r="C483" s="71" t="n">
        <f aca="false">_xlfn.NORM.S.DIST(A483,TRUE())</f>
        <v>0.991689817363366</v>
      </c>
      <c r="D483" s="71" t="n">
        <f aca="false">B483-A483*(1-C483)</f>
        <v>0.00276171280957028</v>
      </c>
    </row>
    <row r="484" customFormat="false" ht="15" hidden="false" customHeight="true" outlineLevel="0" collapsed="false">
      <c r="A484" s="70" t="n">
        <v>2.4</v>
      </c>
      <c r="B484" s="71" t="n">
        <f aca="false">_xlfn.NORM.S.DIST(A484,FALSE())</f>
        <v>0.0223945302948429</v>
      </c>
      <c r="C484" s="71" t="n">
        <f aca="false">_xlfn.NORM.S.DIST(A484,TRUE())</f>
        <v>0.991802464075404</v>
      </c>
      <c r="D484" s="71" t="n">
        <f aca="false">B484-A484*(1-C484)</f>
        <v>0.00272044407581213</v>
      </c>
    </row>
    <row r="485" customFormat="false" ht="15" hidden="false" customHeight="true" outlineLevel="0" collapsed="false">
      <c r="A485" s="70" t="n">
        <v>2.405</v>
      </c>
      <c r="B485" s="71" t="n">
        <f aca="false">_xlfn.NORM.S.DIST(A485,FALSE())</f>
        <v>0.0221271253163687</v>
      </c>
      <c r="C485" s="71" t="n">
        <f aca="false">_xlfn.NORM.S.DIST(A485,TRUE())</f>
        <v>0.991913767107898</v>
      </c>
      <c r="D485" s="71" t="n">
        <f aca="false">B485-A485*(1-C485)</f>
        <v>0.00267973521086344</v>
      </c>
    </row>
    <row r="486" customFormat="false" ht="15" hidden="false" customHeight="true" outlineLevel="0" collapsed="false">
      <c r="A486" s="70" t="n">
        <v>2.41</v>
      </c>
      <c r="B486" s="71" t="n">
        <f aca="false">_xlfn.NORM.S.DIST(A486,FALSE())</f>
        <v>0.0218623667579294</v>
      </c>
      <c r="C486" s="71" t="n">
        <f aca="false">_xlfn.NORM.S.DIST(A486,TRUE())</f>
        <v>0.992023739739266</v>
      </c>
      <c r="D486" s="71" t="n">
        <f aca="false">B486-A486*(1-C486)</f>
        <v>0.00263957952956111</v>
      </c>
    </row>
    <row r="487" customFormat="false" ht="15" hidden="false" customHeight="true" outlineLevel="0" collapsed="false">
      <c r="A487" s="70" t="n">
        <v>2.415</v>
      </c>
      <c r="B487" s="71" t="n">
        <f aca="false">_xlfn.NORM.S.DIST(A487,FALSE())</f>
        <v>0.0216002361127771</v>
      </c>
      <c r="C487" s="71" t="n">
        <f aca="false">_xlfn.NORM.S.DIST(A487,TRUE())</f>
        <v>0.992132395155331</v>
      </c>
      <c r="D487" s="71" t="n">
        <f aca="false">B487-A487*(1-C487)</f>
        <v>0.00259997041290237</v>
      </c>
    </row>
    <row r="488" customFormat="false" ht="15" hidden="false" customHeight="true" outlineLevel="0" collapsed="false">
      <c r="A488" s="70" t="n">
        <v>2.42</v>
      </c>
      <c r="B488" s="71" t="n">
        <f aca="false">_xlfn.NORM.S.DIST(A488,FALSE())</f>
        <v>0.0213407148999228</v>
      </c>
      <c r="C488" s="71" t="n">
        <f aca="false">_xlfn.NORM.S.DIST(A488,TRUE())</f>
        <v>0.992239746449446</v>
      </c>
      <c r="D488" s="71" t="n">
        <f aca="false">B488-A488*(1-C488)</f>
        <v>0.00256090130758295</v>
      </c>
    </row>
    <row r="489" customFormat="false" ht="15" hidden="false" customHeight="true" outlineLevel="0" collapsed="false">
      <c r="A489" s="70" t="n">
        <v>2.425</v>
      </c>
      <c r="B489" s="71" t="n">
        <f aca="false">_xlfn.NORM.S.DIST(A489,FALSE())</f>
        <v>0.0210837846656641</v>
      </c>
      <c r="C489" s="71" t="n">
        <f aca="false">_xlfn.NORM.S.DIST(A489,TRUE())</f>
        <v>0.992345806622627</v>
      </c>
      <c r="D489" s="71" t="n">
        <f aca="false">B489-A489*(1-C489)</f>
        <v>0.00252236572553393</v>
      </c>
    </row>
    <row r="490" customFormat="false" ht="15" hidden="false" customHeight="true" outlineLevel="0" collapsed="false">
      <c r="A490" s="70" t="n">
        <v>2.43</v>
      </c>
      <c r="B490" s="71" t="n">
        <f aca="false">_xlfn.NORM.S.DIST(A490,FALSE())</f>
        <v>0.0208294269850922</v>
      </c>
      <c r="C490" s="71" t="n">
        <f aca="false">_xlfn.NORM.S.DIST(A490,TRUE())</f>
        <v>0.992450588583691</v>
      </c>
      <c r="D490" s="71" t="n">
        <f aca="false">B490-A490*(1-C490)</f>
        <v>0.00248435724346093</v>
      </c>
    </row>
    <row r="491" customFormat="false" ht="15" hidden="false" customHeight="true" outlineLevel="0" collapsed="false">
      <c r="A491" s="70" t="n">
        <v>2.435</v>
      </c>
      <c r="B491" s="71" t="n">
        <f aca="false">_xlfn.NORM.S.DIST(A491,FALSE())</f>
        <v>0.0205776234635761</v>
      </c>
      <c r="C491" s="71" t="n">
        <f aca="false">_xlfn.NORM.S.DIST(A491,TRUE())</f>
        <v>0.992554105149408</v>
      </c>
      <c r="D491" s="71" t="n">
        <f aca="false">B491-A491*(1-C491)</f>
        <v>0.00244686950238348</v>
      </c>
    </row>
    <row r="492" customFormat="false" ht="15" hidden="false" customHeight="true" outlineLevel="0" collapsed="false">
      <c r="A492" s="70" t="n">
        <v>2.44</v>
      </c>
      <c r="B492" s="71" t="n">
        <f aca="false">_xlfn.NORM.S.DIST(A492,FALSE())</f>
        <v>0.0203283557382258</v>
      </c>
      <c r="C492" s="71" t="n">
        <f aca="false">_xlfn.NORM.S.DIST(A492,TRUE())</f>
        <v>0.992656369044652</v>
      </c>
      <c r="D492" s="71" t="n">
        <f aca="false">B492-A492*(1-C492)</f>
        <v>0.00240989620717601</v>
      </c>
    </row>
    <row r="493" customFormat="false" ht="15" hidden="false" customHeight="true" outlineLevel="0" collapsed="false">
      <c r="A493" s="70" t="n">
        <v>2.445</v>
      </c>
      <c r="B493" s="71" t="n">
        <f aca="false">_xlfn.NORM.S.DIST(A493,FALSE())</f>
        <v>0.020081605479334</v>
      </c>
      <c r="C493" s="71" t="n">
        <f aca="false">_xlfn.NORM.S.DIST(A493,TRUE())</f>
        <v>0.992757392902565</v>
      </c>
      <c r="D493" s="71" t="n">
        <f aca="false">B493-A493*(1-C493)</f>
        <v>0.00237343112610633</v>
      </c>
    </row>
    <row r="494" customFormat="false" ht="15" hidden="false" customHeight="true" outlineLevel="0" collapsed="false">
      <c r="A494" s="70" t="n">
        <v>2.45</v>
      </c>
      <c r="B494" s="71" t="n">
        <f aca="false">_xlfn.NORM.S.DIST(A494,FALSE())</f>
        <v>0.0198373543917953</v>
      </c>
      <c r="C494" s="71" t="n">
        <f aca="false">_xlfn.NORM.S.DIST(A494,TRUE())</f>
        <v>0.992857189264729</v>
      </c>
      <c r="D494" s="71" t="n">
        <f aca="false">B494-A494*(1-C494)</f>
        <v>0.00233746809038025</v>
      </c>
    </row>
    <row r="495" customFormat="false" ht="15" hidden="false" customHeight="true" outlineLevel="0" collapsed="false">
      <c r="A495" s="70" t="n">
        <v>2.455</v>
      </c>
      <c r="B495" s="71" t="n">
        <f aca="false">_xlfn.NORM.S.DIST(A495,FALSE())</f>
        <v>0.0195955842165053</v>
      </c>
      <c r="C495" s="71" t="n">
        <f aca="false">_xlfn.NORM.S.DIST(A495,TRUE())</f>
        <v>0.992955770581335</v>
      </c>
      <c r="D495" s="71" t="n">
        <f aca="false">B495-A495*(1-C495)</f>
        <v>0.00230200099368274</v>
      </c>
    </row>
    <row r="496" customFormat="false" ht="15" hidden="false" customHeight="true" outlineLevel="0" collapsed="false">
      <c r="A496" s="70" t="n">
        <v>2.46</v>
      </c>
      <c r="B496" s="71" t="n">
        <f aca="false">_xlfn.NORM.S.DIST(A496,FALSE())</f>
        <v>0.019356276731737</v>
      </c>
      <c r="C496" s="71" t="n">
        <f aca="false">_xlfn.NORM.S.DIST(A496,TRUE())</f>
        <v>0.993053149211376</v>
      </c>
      <c r="D496" s="71" t="n">
        <f aca="false">B496-A496*(1-C496)</f>
        <v>0.0022670237917211</v>
      </c>
    </row>
    <row r="497" customFormat="false" ht="15" hidden="false" customHeight="true" outlineLevel="0" collapsed="false">
      <c r="A497" s="70" t="n">
        <v>2.465</v>
      </c>
      <c r="B497" s="71" t="n">
        <f aca="false">_xlfn.NORM.S.DIST(A497,FALSE())</f>
        <v>0.0191194137544962</v>
      </c>
      <c r="C497" s="71" t="n">
        <f aca="false">_xlfn.NORM.S.DIST(A497,TRUE())</f>
        <v>0.993149337422829</v>
      </c>
      <c r="D497" s="71" t="n">
        <f aca="false">B497-A497*(1-C497)</f>
        <v>0.0022325305017707</v>
      </c>
    </row>
    <row r="498" customFormat="false" ht="15" hidden="false" customHeight="true" outlineLevel="0" collapsed="false">
      <c r="A498" s="70" t="n">
        <v>2.47</v>
      </c>
      <c r="B498" s="71" t="n">
        <f aca="false">_xlfn.NORM.S.DIST(A498,FALSE())</f>
        <v>0.0188849771418562</v>
      </c>
      <c r="C498" s="71" t="n">
        <f aca="false">_xlfn.NORM.S.DIST(A498,TRUE())</f>
        <v>0.993244347392859</v>
      </c>
      <c r="D498" s="71" t="n">
        <f aca="false">B498-A498*(1-C498)</f>
        <v>0.00219851520221884</v>
      </c>
    </row>
    <row r="499" customFormat="false" ht="15" hidden="false" customHeight="true" outlineLevel="0" collapsed="false">
      <c r="A499" s="70" t="n">
        <v>2.475</v>
      </c>
      <c r="B499" s="71" t="n">
        <f aca="false">_xlfn.NORM.S.DIST(A499,FALSE())</f>
        <v>0.0186529487922699</v>
      </c>
      <c r="C499" s="71" t="n">
        <f aca="false">_xlfn.NORM.S.DIST(A499,TRUE())</f>
        <v>0.993338191208017</v>
      </c>
      <c r="D499" s="71" t="n">
        <f aca="false">B499-A499*(1-C499)</f>
        <v>0.0021649720321126</v>
      </c>
    </row>
    <row r="500" customFormat="false" ht="15" hidden="false" customHeight="true" outlineLevel="0" collapsed="false">
      <c r="A500" s="70" t="n">
        <v>2.48</v>
      </c>
      <c r="B500" s="71" t="n">
        <f aca="false">_xlfn.NORM.S.DIST(A500,FALSE())</f>
        <v>0.0184233106468621</v>
      </c>
      <c r="C500" s="71" t="n">
        <f aca="false">_xlfn.NORM.S.DIST(A500,TRUE())</f>
        <v>0.993430880864453</v>
      </c>
      <c r="D500" s="71" t="n">
        <f aca="false">B500-A500*(1-C500)</f>
        <v>0.00213189519070596</v>
      </c>
    </row>
    <row r="501" customFormat="false" ht="15" hidden="false" customHeight="true" outlineLevel="0" collapsed="false">
      <c r="A501" s="70" t="n">
        <v>2.485</v>
      </c>
      <c r="B501" s="71" t="n">
        <f aca="false">_xlfn.NORM.S.DIST(A501,FALSE())</f>
        <v>0.0181960446906993</v>
      </c>
      <c r="C501" s="71" t="n">
        <f aca="false">_xlfn.NORM.S.DIST(A501,TRUE())</f>
        <v>0.993522428268132</v>
      </c>
      <c r="D501" s="71" t="n">
        <f aca="false">B501-A501*(1-C501)</f>
        <v>0.00209927893700778</v>
      </c>
    </row>
    <row r="502" customFormat="false" ht="15" hidden="false" customHeight="true" outlineLevel="0" collapsed="false">
      <c r="A502" s="70" t="n">
        <v>2.49</v>
      </c>
      <c r="B502" s="71" t="n">
        <f aca="false">_xlfn.NORM.S.DIST(A502,FALSE())</f>
        <v>0.0179711329540396</v>
      </c>
      <c r="C502" s="71" t="n">
        <f aca="false">_xlfn.NORM.S.DIST(A502,TRUE())</f>
        <v>0.993612845235057</v>
      </c>
      <c r="D502" s="71" t="n">
        <f aca="false">B502-A502*(1-C502)</f>
        <v>0.002067117589331</v>
      </c>
    </row>
    <row r="503" customFormat="false" ht="15" hidden="false" customHeight="true" outlineLevel="0" collapsed="false">
      <c r="A503" s="70" t="n">
        <v>2.495</v>
      </c>
      <c r="B503" s="71" t="n">
        <f aca="false">_xlfn.NORM.S.DIST(A503,FALSE())</f>
        <v>0.017748557513561</v>
      </c>
      <c r="C503" s="71" t="n">
        <f aca="false">_xlfn.NORM.S.DIST(A503,TRUE())</f>
        <v>0.993702143491497</v>
      </c>
      <c r="D503" s="71" t="n">
        <f aca="false">B503-A503*(1-C503)</f>
        <v>0.00203540552484575</v>
      </c>
    </row>
    <row r="504" customFormat="false" ht="15" hidden="false" customHeight="true" outlineLevel="0" collapsed="false">
      <c r="A504" s="70" t="n">
        <v>2.5</v>
      </c>
      <c r="B504" s="71" t="n">
        <f aca="false">_xlfn.NORM.S.DIST(A504,FALSE())</f>
        <v>0.0175283004935685</v>
      </c>
      <c r="C504" s="71" t="n">
        <f aca="false">_xlfn.NORM.S.DIST(A504,TRUE())</f>
        <v>0.993790334674224</v>
      </c>
      <c r="D504" s="71" t="n">
        <f aca="false">B504-A504*(1-C504)</f>
        <v>0.00200413717912814</v>
      </c>
    </row>
    <row r="505" customFormat="false" ht="15" hidden="false" customHeight="true" outlineLevel="0" collapsed="false">
      <c r="A505" s="70" t="n">
        <v>2.505</v>
      </c>
      <c r="B505" s="71" t="n">
        <f aca="false">_xlfn.NORM.S.DIST(A505,FALSE())</f>
        <v>0.017310344067181</v>
      </c>
      <c r="C505" s="71" t="n">
        <f aca="false">_xlfn.NORM.S.DIST(A505,TRUE())</f>
        <v>0.993877430330753</v>
      </c>
      <c r="D505" s="71" t="n">
        <f aca="false">B505-A505*(1-C505)</f>
        <v>0.001973307045716</v>
      </c>
    </row>
    <row r="506" customFormat="false" ht="15" hidden="false" customHeight="true" outlineLevel="0" collapsed="false">
      <c r="A506" s="70" t="n">
        <v>2.51</v>
      </c>
      <c r="B506" s="71" t="n">
        <f aca="false">_xlfn.NORM.S.DIST(A506,FALSE())</f>
        <v>0.017094670457497</v>
      </c>
      <c r="C506" s="71" t="n">
        <f aca="false">_xlfn.NORM.S.DIST(A506,TRUE())</f>
        <v>0.993963441919587</v>
      </c>
      <c r="D506" s="71" t="n">
        <f aca="false">B506-A506*(1-C506)</f>
        <v>0.00194290967566108</v>
      </c>
    </row>
    <row r="507" customFormat="false" ht="15" hidden="false" customHeight="true" outlineLevel="0" collapsed="false">
      <c r="A507" s="70" t="n">
        <v>2.515</v>
      </c>
      <c r="B507" s="71" t="n">
        <f aca="false">_xlfn.NORM.S.DIST(A507,FALSE())</f>
        <v>0.0168812619387395</v>
      </c>
      <c r="C507" s="71" t="n">
        <f aca="false">_xlfn.NORM.S.DIST(A507,TRUE())</f>
        <v>0.994048380810476</v>
      </c>
      <c r="D507" s="71" t="n">
        <f aca="false">B507-A507*(1-C507)</f>
        <v>0.00191293967708684</v>
      </c>
    </row>
    <row r="508" customFormat="false" ht="15" hidden="false" customHeight="true" outlineLevel="0" collapsed="false">
      <c r="A508" s="70" t="n">
        <v>2.52</v>
      </c>
      <c r="B508" s="71" t="n">
        <f aca="false">_xlfn.NORM.S.DIST(A508,FALSE())</f>
        <v>0.0166701008373811</v>
      </c>
      <c r="C508" s="71" t="n">
        <f aca="false">_xlfn.NORM.S.DIST(A508,TRUE())</f>
        <v>0.994132258284667</v>
      </c>
      <c r="D508" s="71" t="n">
        <f aca="false">B508-A508*(1-C508)</f>
        <v>0.00188339171474302</v>
      </c>
    </row>
    <row r="509" customFormat="false" ht="15" hidden="false" customHeight="true" outlineLevel="0" collapsed="false">
      <c r="A509" s="70" t="n">
        <v>2.525</v>
      </c>
      <c r="B509" s="71" t="n">
        <f aca="false">_xlfn.NORM.S.DIST(A509,FALSE())</f>
        <v>0.0164611695332473</v>
      </c>
      <c r="C509" s="71" t="n">
        <f aca="false">_xlfn.NORM.S.DIST(A509,TRUE())</f>
        <v>0.994215085535176</v>
      </c>
      <c r="D509" s="71" t="n">
        <f aca="false">B509-A509*(1-C509)</f>
        <v>0.00185426050956558</v>
      </c>
    </row>
    <row r="510" customFormat="false" ht="15" hidden="false" customHeight="true" outlineLevel="0" collapsed="false">
      <c r="A510" s="70" t="n">
        <v>2.53</v>
      </c>
      <c r="B510" s="71" t="n">
        <f aca="false">_xlfn.NORM.S.DIST(A510,FALSE())</f>
        <v>0.0162544504606005</v>
      </c>
      <c r="C510" s="71" t="n">
        <f aca="false">_xlfn.NORM.S.DIST(A510,TRUE())</f>
        <v>0.994296873667049</v>
      </c>
      <c r="D510" s="71" t="n">
        <f aca="false">B510-A510*(1-C510)</f>
        <v>0.00182554083823531</v>
      </c>
    </row>
    <row r="511" customFormat="false" ht="15" hidden="false" customHeight="true" outlineLevel="0" collapsed="false">
      <c r="A511" s="70" t="n">
        <v>2.535</v>
      </c>
      <c r="B511" s="71" t="n">
        <f aca="false">_xlfn.NORM.S.DIST(A511,FALSE())</f>
        <v>0.0160499261092032</v>
      </c>
      <c r="C511" s="71" t="n">
        <f aca="false">_xlfn.NORM.S.DIST(A511,TRUE())</f>
        <v>0.994377633697647</v>
      </c>
      <c r="D511" s="71" t="n">
        <f aca="false">B511-A511*(1-C511)</f>
        <v>0.00179722753273884</v>
      </c>
    </row>
    <row r="512" customFormat="false" ht="15" hidden="false" customHeight="true" outlineLevel="0" collapsed="false">
      <c r="A512" s="70" t="n">
        <v>2.54</v>
      </c>
      <c r="B512" s="71" t="n">
        <f aca="false">_xlfn.NORM.S.DIST(A512,FALSE())</f>
        <v>0.0158475790253608</v>
      </c>
      <c r="C512" s="71" t="n">
        <f aca="false">_xlfn.NORM.S.DIST(A512,TRUE())</f>
        <v>0.994457376556917</v>
      </c>
      <c r="D512" s="71" t="n">
        <f aca="false">B512-A512*(1-C512)</f>
        <v>0.00176931547993089</v>
      </c>
    </row>
    <row r="513" customFormat="false" ht="15" hidden="false" customHeight="true" outlineLevel="0" collapsed="false">
      <c r="A513" s="70" t="n">
        <v>2.545</v>
      </c>
      <c r="B513" s="71" t="n">
        <f aca="false">_xlfn.NORM.S.DIST(A513,FALSE())</f>
        <v>0.0156473918129448</v>
      </c>
      <c r="C513" s="71" t="n">
        <f aca="false">_xlfn.NORM.S.DIST(A513,TRUE())</f>
        <v>0.994536113087683</v>
      </c>
      <c r="D513" s="71" t="n">
        <f aca="false">B513-A513*(1-C513)</f>
        <v>0.00174179962109849</v>
      </c>
    </row>
    <row r="514" customFormat="false" ht="15" hidden="false" customHeight="true" outlineLevel="0" collapsed="false">
      <c r="A514" s="70" t="n">
        <v>2.55</v>
      </c>
      <c r="B514" s="71" t="n">
        <f aca="false">_xlfn.NORM.S.DIST(A514,FALSE())</f>
        <v>0.0154493471343952</v>
      </c>
      <c r="C514" s="71" t="n">
        <f aca="false">_xlfn.NORM.S.DIST(A514,TRUE())</f>
        <v>0.994613854045933</v>
      </c>
      <c r="D514" s="71" t="n">
        <f aca="false">B514-A514*(1-C514)</f>
        <v>0.00171467495152503</v>
      </c>
    </row>
    <row r="515" customFormat="false" ht="15" hidden="false" customHeight="true" outlineLevel="0" collapsed="false">
      <c r="A515" s="70" t="n">
        <v>2.555</v>
      </c>
      <c r="B515" s="71" t="n">
        <f aca="false">_xlfn.NORM.S.DIST(A515,FALSE())</f>
        <v>0.0152534277117039</v>
      </c>
      <c r="C515" s="71" t="n">
        <f aca="false">_xlfn.NORM.S.DIST(A515,TRUE())</f>
        <v>0.994690610101117</v>
      </c>
      <c r="D515" s="71" t="n">
        <f aca="false">B515-A515*(1-C515)</f>
        <v>0.00168793652005761</v>
      </c>
    </row>
    <row r="516" customFormat="false" ht="15" hidden="false" customHeight="true" outlineLevel="0" collapsed="false">
      <c r="A516" s="70" t="n">
        <v>2.56</v>
      </c>
      <c r="B516" s="71" t="n">
        <f aca="false">_xlfn.NORM.S.DIST(A516,FALSE())</f>
        <v>0.0150596163273775</v>
      </c>
      <c r="C516" s="71" t="n">
        <f aca="false">_xlfn.NORM.S.DIST(A516,TRUE())</f>
        <v>0.994766391836444</v>
      </c>
      <c r="D516" s="71" t="n">
        <f aca="false">B516-A516*(1-C516)</f>
        <v>0.00166157942867465</v>
      </c>
    </row>
    <row r="517" customFormat="false" ht="15" hidden="false" customHeight="true" outlineLevel="0" collapsed="false">
      <c r="A517" s="70" t="n">
        <v>2.565</v>
      </c>
      <c r="B517" s="71" t="n">
        <f aca="false">_xlfn.NORM.S.DIST(A517,FALSE())</f>
        <v>0.0148678958253806</v>
      </c>
      <c r="C517" s="71" t="n">
        <f aca="false">_xlfn.NORM.S.DIST(A517,TRUE())</f>
        <v>0.994841209749191</v>
      </c>
      <c r="D517" s="71" t="n">
        <f aca="false">B517-A517*(1-C517)</f>
        <v>0.00163559883205581</v>
      </c>
    </row>
    <row r="518" customFormat="false" ht="15" hidden="false" customHeight="true" outlineLevel="0" collapsed="false">
      <c r="A518" s="70" t="n">
        <v>2.57</v>
      </c>
      <c r="B518" s="71" t="n">
        <f aca="false">_xlfn.NORM.S.DIST(A518,FALSE())</f>
        <v>0.01467824911206</v>
      </c>
      <c r="C518" s="71" t="n">
        <f aca="false">_xlfn.NORM.S.DIST(A518,TRUE())</f>
        <v>0.994915074251009</v>
      </c>
      <c r="D518" s="71" t="n">
        <f aca="false">B518-A518*(1-C518)</f>
        <v>0.00160998993715318</v>
      </c>
    </row>
    <row r="519" customFormat="false" ht="15" hidden="false" customHeight="true" outlineLevel="0" collapsed="false">
      <c r="A519" s="70" t="n">
        <v>2.575</v>
      </c>
      <c r="B519" s="71" t="n">
        <f aca="false">_xlfn.NORM.S.DIST(A519,FALSE())</f>
        <v>0.0144906591570484</v>
      </c>
      <c r="C519" s="71" t="n">
        <f aca="false">_xlfn.NORM.S.DIST(A519,TRUE())</f>
        <v>0.994987995668239</v>
      </c>
      <c r="D519" s="71" t="n">
        <f aca="false">B519-A519*(1-C519)</f>
        <v>0.00158474800276309</v>
      </c>
    </row>
    <row r="520" customFormat="false" ht="15" hidden="false" customHeight="true" outlineLevel="0" collapsed="false">
      <c r="A520" s="70" t="n">
        <v>2.58</v>
      </c>
      <c r="B520" s="71" t="n">
        <f aca="false">_xlfn.NORM.S.DIST(A520,FALSE())</f>
        <v>0.0143051089941497</v>
      </c>
      <c r="C520" s="71" t="n">
        <f aca="false">_xlfn.NORM.S.DIST(A520,TRUE())</f>
        <v>0.995059984242229</v>
      </c>
      <c r="D520" s="71" t="n">
        <f aca="false">B520-A520*(1-C520)</f>
        <v>0.00155986833910157</v>
      </c>
    </row>
    <row r="521" customFormat="false" ht="15" hidden="false" customHeight="true" outlineLevel="0" collapsed="false">
      <c r="A521" s="70" t="n">
        <v>2.585</v>
      </c>
      <c r="B521" s="71" t="n">
        <f aca="false">_xlfn.NORM.S.DIST(A521,FALSE())</f>
        <v>0.0141215817222043</v>
      </c>
      <c r="C521" s="71" t="n">
        <f aca="false">_xlfn.NORM.S.DIST(A521,TRUE())</f>
        <v>0.995131050129661</v>
      </c>
      <c r="D521" s="71" t="n">
        <f aca="false">B521-A521*(1-C521)</f>
        <v>0.00153534630737902</v>
      </c>
    </row>
    <row r="522" customFormat="false" ht="15" hidden="false" customHeight="true" outlineLevel="0" collapsed="false">
      <c r="A522" s="70" t="n">
        <v>2.59</v>
      </c>
      <c r="B522" s="71" t="n">
        <f aca="false">_xlfn.NORM.S.DIST(A522,FALSE())</f>
        <v>0.0139400605059358</v>
      </c>
      <c r="C522" s="71" t="n">
        <f aca="false">_xlfn.NORM.S.DIST(A522,TRUE())</f>
        <v>0.995201203402874</v>
      </c>
      <c r="D522" s="71" t="n">
        <f aca="false">B522-A522*(1-C522)</f>
        <v>0.00151117731937889</v>
      </c>
    </row>
    <row r="523" customFormat="false" ht="15" hidden="false" customHeight="true" outlineLevel="0" collapsed="false">
      <c r="A523" s="70" t="n">
        <v>2.595</v>
      </c>
      <c r="B523" s="71" t="n">
        <f aca="false">_xlfn.NORM.S.DIST(A523,FALSE())</f>
        <v>0.0137605285767785</v>
      </c>
      <c r="C523" s="71" t="n">
        <f aca="false">_xlfn.NORM.S.DIST(A523,TRUE())</f>
        <v>0.995270454050196</v>
      </c>
      <c r="D523" s="71" t="n">
        <f aca="false">B523-A523*(1-C523)</f>
        <v>0.00148735683703593</v>
      </c>
    </row>
    <row r="524" customFormat="false" ht="15" hidden="false" customHeight="true" outlineLevel="0" collapsed="false">
      <c r="A524" s="70" t="n">
        <v>2.6</v>
      </c>
      <c r="B524" s="71" t="n">
        <f aca="false">_xlfn.NORM.S.DIST(A524,FALSE())</f>
        <v>0.0135829692336856</v>
      </c>
      <c r="C524" s="71" t="n">
        <f aca="false">_xlfn.NORM.S.DIST(A524,TRUE())</f>
        <v>0.995338811976281</v>
      </c>
      <c r="D524" s="71" t="n">
        <f aca="false">B524-A524*(1-C524)</f>
        <v>0.00146388037201691</v>
      </c>
    </row>
    <row r="525" customFormat="false" ht="15" hidden="false" customHeight="true" outlineLevel="0" collapsed="false">
      <c r="A525" s="70" t="n">
        <v>2.605</v>
      </c>
      <c r="B525" s="71" t="n">
        <f aca="false">_xlfn.NORM.S.DIST(A525,FALSE())</f>
        <v>0.0134073658439192</v>
      </c>
      <c r="C525" s="71" t="n">
        <f aca="false">_xlfn.NORM.S.DIST(A525,TRUE())</f>
        <v>0.995406287002451</v>
      </c>
      <c r="D525" s="71" t="n">
        <f aca="false">B525-A525*(1-C525)</f>
        <v>0.00144074348530363</v>
      </c>
    </row>
    <row r="526" customFormat="false" ht="15" hidden="false" customHeight="true" outlineLevel="0" collapsed="false">
      <c r="A526" s="70" t="n">
        <v>2.61</v>
      </c>
      <c r="B526" s="71" t="n">
        <f aca="false">_xlfn.NORM.S.DIST(A526,FALSE())</f>
        <v>0.0132337018438214</v>
      </c>
      <c r="C526" s="71" t="n">
        <f aca="false">_xlfn.NORM.S.DIST(A526,TRUE())</f>
        <v>0.995472888867033</v>
      </c>
      <c r="D526" s="71" t="n">
        <f aca="false">B526-A526*(1-C526)</f>
        <v>0.00141794178677664</v>
      </c>
    </row>
    <row r="527" customFormat="false" ht="15" hidden="false" customHeight="true" outlineLevel="0" collapsed="false">
      <c r="A527" s="70" t="n">
        <v>2.615</v>
      </c>
      <c r="B527" s="71" t="n">
        <f aca="false">_xlfn.NORM.S.DIST(A527,FALSE())</f>
        <v>0.0130619607395664</v>
      </c>
      <c r="C527" s="71" t="n">
        <f aca="false">_xlfn.NORM.S.DIST(A527,TRUE())</f>
        <v>0.995538627225712</v>
      </c>
      <c r="D527" s="71" t="n">
        <f aca="false">B527-A527*(1-C527)</f>
        <v>0.00139547093480201</v>
      </c>
    </row>
    <row r="528" customFormat="false" ht="15" hidden="false" customHeight="true" outlineLevel="0" collapsed="false">
      <c r="A528" s="70" t="n">
        <v>2.62</v>
      </c>
      <c r="B528" s="71" t="n">
        <f aca="false">_xlfn.NORM.S.DIST(A528,FALSE())</f>
        <v>0.0128921261078953</v>
      </c>
      <c r="C528" s="71" t="n">
        <f aca="false">_xlfn.NORM.S.DIST(A528,TRUE())</f>
        <v>0.995603511651879</v>
      </c>
      <c r="D528" s="71" t="n">
        <f aca="false">B528-A528*(1-C528)</f>
        <v>0.00137332663581739</v>
      </c>
    </row>
    <row r="529" customFormat="false" ht="15" hidden="false" customHeight="true" outlineLevel="0" collapsed="false">
      <c r="A529" s="70" t="n">
        <v>2.625</v>
      </c>
      <c r="B529" s="71" t="n">
        <f aca="false">_xlfn.NORM.S.DIST(A529,FALSE())</f>
        <v>0.0127241815968314</v>
      </c>
      <c r="C529" s="71" t="n">
        <f aca="false">_xlfn.NORM.S.DIST(A529,TRUE())</f>
        <v>0.995667551636987</v>
      </c>
      <c r="D529" s="71" t="n">
        <f aca="false">B529-A529*(1-C529)</f>
        <v>0.00135150464392333</v>
      </c>
    </row>
    <row r="530" customFormat="false" ht="15" hidden="false" customHeight="true" outlineLevel="0" collapsed="false">
      <c r="A530" s="70" t="n">
        <v>2.63</v>
      </c>
      <c r="B530" s="71" t="n">
        <f aca="false">_xlfn.NORM.S.DIST(A530,FALSE())</f>
        <v>0.0125581109263782</v>
      </c>
      <c r="C530" s="71" t="n">
        <f aca="false">_xlfn.NORM.S.DIST(A530,TRUE())</f>
        <v>0.995730756590911</v>
      </c>
      <c r="D530" s="71" t="n">
        <f aca="false">B530-A530*(1-C530)</f>
        <v>0.00133000076047336</v>
      </c>
    </row>
    <row r="531" customFormat="false" ht="15" hidden="false" customHeight="true" outlineLevel="0" collapsed="false">
      <c r="A531" s="70" t="n">
        <v>2.635</v>
      </c>
      <c r="B531" s="71" t="n">
        <f aca="false">_xlfn.NORM.S.DIST(A531,FALSE())</f>
        <v>0.0123938978891988</v>
      </c>
      <c r="C531" s="71" t="n">
        <f aca="false">_xlfn.NORM.S.DIST(A531,TRUE())</f>
        <v>0.995793135842303</v>
      </c>
      <c r="D531" s="71" t="n">
        <f aca="false">B531-A531*(1-C531)</f>
        <v>0.00130881083366606</v>
      </c>
    </row>
    <row r="532" customFormat="false" ht="15" hidden="false" customHeight="true" outlineLevel="0" collapsed="false">
      <c r="A532" s="70" t="n">
        <v>2.64</v>
      </c>
      <c r="B532" s="71" t="n">
        <f aca="false">_xlfn.NORM.S.DIST(A532,FALSE())</f>
        <v>0.012231526351278</v>
      </c>
      <c r="C532" s="71" t="n">
        <f aca="false">_xlfn.NORM.S.DIST(A532,TRUE())</f>
        <v>0.995854698638964</v>
      </c>
      <c r="D532" s="71" t="n">
        <f aca="false">B532-A532*(1-C532)</f>
        <v>0.00128793075814272</v>
      </c>
    </row>
    <row r="533" customFormat="false" ht="15" hidden="false" customHeight="true" outlineLevel="0" collapsed="false">
      <c r="A533" s="70" t="n">
        <v>2.645</v>
      </c>
      <c r="B533" s="71" t="n">
        <f aca="false">_xlfn.NORM.S.DIST(A533,FALSE())</f>
        <v>0.012070980252566</v>
      </c>
      <c r="C533" s="71" t="n">
        <f aca="false">_xlfn.NORM.S.DIST(A533,TRUE())</f>
        <v>0.99591545414821</v>
      </c>
      <c r="D533" s="71" t="n">
        <f aca="false">B533-A533*(1-C533)</f>
        <v>0.00126735647458124</v>
      </c>
    </row>
    <row r="534" customFormat="false" ht="15" hidden="false" customHeight="true" outlineLevel="0" collapsed="false">
      <c r="A534" s="70" t="n">
        <v>2.65</v>
      </c>
      <c r="B534" s="71" t="n">
        <f aca="false">_xlfn.NORM.S.DIST(A534,FALSE())</f>
        <v>0.0119122436076052</v>
      </c>
      <c r="C534" s="71" t="n">
        <f aca="false">_xlfn.NORM.S.DIST(A534,TRUE())</f>
        <v>0.995975411457242</v>
      </c>
      <c r="D534" s="71" t="n">
        <f aca="false">B534-A534*(1-C534)</f>
        <v>0.00124708396929559</v>
      </c>
    </row>
    <row r="535" customFormat="false" ht="15" hidden="false" customHeight="true" outlineLevel="0" collapsed="false">
      <c r="A535" s="70" t="n">
        <v>2.655</v>
      </c>
      <c r="B535" s="71" t="n">
        <f aca="false">_xlfn.NORM.S.DIST(A535,FALSE())</f>
        <v>0.0117553005061388</v>
      </c>
      <c r="C535" s="71" t="n">
        <f aca="false">_xlfn.NORM.S.DIST(A535,TRUE())</f>
        <v>0.996034579573521</v>
      </c>
      <c r="D535" s="71" t="n">
        <f aca="false">B535-A535*(1-C535)</f>
        <v>0.00122710927383684</v>
      </c>
    </row>
    <row r="536" customFormat="false" ht="15" hidden="false" customHeight="true" outlineLevel="0" collapsed="false">
      <c r="A536" s="70" t="n">
        <v>2.66</v>
      </c>
      <c r="B536" s="71" t="n">
        <f aca="false">_xlfn.NORM.S.DIST(A536,FALSE())</f>
        <v>0.0116001351137026</v>
      </c>
      <c r="C536" s="71" t="n">
        <f aca="false">_xlfn.NORM.S.DIST(A536,TRUE())</f>
        <v>0.996092967425147</v>
      </c>
      <c r="D536" s="71" t="n">
        <f aca="false">B536-A536*(1-C536)</f>
        <v>0.00120742846459409</v>
      </c>
    </row>
    <row r="537" customFormat="false" ht="15" hidden="false" customHeight="true" outlineLevel="0" collapsed="false">
      <c r="A537" s="70" t="n">
        <v>2.665</v>
      </c>
      <c r="B537" s="71" t="n">
        <f aca="false">_xlfn.NORM.S.DIST(A537,FALSE())</f>
        <v>0.0114467316721993</v>
      </c>
      <c r="C537" s="71" t="n">
        <f aca="false">_xlfn.NORM.S.DIST(A537,TRUE())</f>
        <v>0.996150583861239</v>
      </c>
      <c r="D537" s="71" t="n">
        <f aca="false">B537-A537*(1-C537)</f>
        <v>0.00118803766240009</v>
      </c>
    </row>
    <row r="538" customFormat="false" ht="15" hidden="false" customHeight="true" outlineLevel="0" collapsed="false">
      <c r="A538" s="70" t="n">
        <v>2.67</v>
      </c>
      <c r="B538" s="71" t="n">
        <f aca="false">_xlfn.NORM.S.DIST(A538,FALSE())</f>
        <v>0.0112950745004561</v>
      </c>
      <c r="C538" s="71" t="n">
        <f aca="false">_xlfn.NORM.S.DIST(A538,TRUE())</f>
        <v>0.996207437652315</v>
      </c>
      <c r="D538" s="71" t="n">
        <f aca="false">B538-A538*(1-C538)</f>
        <v>0.00116893303213602</v>
      </c>
    </row>
    <row r="539" customFormat="false" ht="15" hidden="false" customHeight="true" outlineLevel="0" collapsed="false">
      <c r="A539" s="70" t="n">
        <v>2.675</v>
      </c>
      <c r="B539" s="71" t="n">
        <f aca="false">_xlfn.NORM.S.DIST(A539,FALSE())</f>
        <v>0.0111451479947648</v>
      </c>
      <c r="C539" s="71" t="n">
        <f aca="false">_xlfn.NORM.S.DIST(A539,TRUE())</f>
        <v>0.996263537490682</v>
      </c>
      <c r="D539" s="71" t="n">
        <f aca="false">B539-A539*(1-C539)</f>
        <v>0.00115011078233968</v>
      </c>
    </row>
    <row r="540" customFormat="false" ht="15" hidden="false" customHeight="true" outlineLevel="0" collapsed="false">
      <c r="A540" s="70" t="n">
        <v>2.68</v>
      </c>
      <c r="B540" s="71" t="n">
        <f aca="false">_xlfn.NORM.S.DIST(A540,FALSE())</f>
        <v>0.0109969366294056</v>
      </c>
      <c r="C540" s="71" t="n">
        <f aca="false">_xlfn.NORM.S.DIST(A540,TRUE())</f>
        <v>0.996318891990825</v>
      </c>
      <c r="D540" s="71" t="n">
        <f aca="false">B540-A540*(1-C540)</f>
        <v>0.00113156716481662</v>
      </c>
    </row>
    <row r="541" customFormat="false" ht="15" hidden="false" customHeight="true" outlineLevel="0" collapsed="false">
      <c r="A541" s="70" t="n">
        <v>2.685</v>
      </c>
      <c r="B541" s="71" t="n">
        <f aca="false">_xlfn.NORM.S.DIST(A541,FALSE())</f>
        <v>0.0108504249571541</v>
      </c>
      <c r="C541" s="71" t="n">
        <f aca="false">_xlfn.NORM.S.DIST(A541,TRUE())</f>
        <v>0.996373509689794</v>
      </c>
      <c r="D541" s="71" t="n">
        <f aca="false">B541-A541*(1-C541)</f>
        <v>0.00111329847425041</v>
      </c>
    </row>
    <row r="542" customFormat="false" ht="15" hidden="false" customHeight="true" outlineLevel="0" collapsed="false">
      <c r="A542" s="70" t="n">
        <v>2.69</v>
      </c>
      <c r="B542" s="71" t="n">
        <f aca="false">_xlfn.NORM.S.DIST(A542,FALSE())</f>
        <v>0.0107055976097722</v>
      </c>
      <c r="C542" s="71" t="n">
        <f aca="false">_xlfn.NORM.S.DIST(A542,TRUE())</f>
        <v>0.9964273990476</v>
      </c>
      <c r="D542" s="71" t="n">
        <f aca="false">B542-A542*(1-C542)</f>
        <v>0.00109530104781686</v>
      </c>
    </row>
    <row r="543" customFormat="false" ht="15" hidden="false" customHeight="true" outlineLevel="0" collapsed="false">
      <c r="A543" s="70" t="n">
        <v>2.695</v>
      </c>
      <c r="B543" s="71" t="n">
        <f aca="false">_xlfn.NORM.S.DIST(A543,FALSE())</f>
        <v>0.0105624392984816</v>
      </c>
      <c r="C543" s="71" t="n">
        <f aca="false">_xlfn.NORM.S.DIST(A543,TRUE())</f>
        <v>0.996480568447614</v>
      </c>
      <c r="D543" s="71" t="n">
        <f aca="false">B543-A543*(1-C543)</f>
        <v>0.00107757126480079</v>
      </c>
    </row>
    <row r="544" customFormat="false" ht="15" hidden="false" customHeight="true" outlineLevel="0" collapsed="false">
      <c r="A544" s="70" t="n">
        <v>2.7</v>
      </c>
      <c r="B544" s="71" t="n">
        <f aca="false">_xlfn.NORM.S.DIST(A544,FALSE())</f>
        <v>0.0104209348144226</v>
      </c>
      <c r="C544" s="71" t="n">
        <f aca="false">_xlfn.NORM.S.DIST(A544,TRUE())</f>
        <v>0.996533026196959</v>
      </c>
      <c r="D544" s="71" t="n">
        <f aca="false">B544-A544*(1-C544)</f>
        <v>0.00106010554621292</v>
      </c>
    </row>
    <row r="545" customFormat="false" ht="15" hidden="false" customHeight="true" outlineLevel="0" collapsed="false">
      <c r="A545" s="70" t="n">
        <v>2.705</v>
      </c>
      <c r="B545" s="71" t="n">
        <f aca="false">_xlfn.NORM.S.DIST(A545,FALSE())</f>
        <v>0.0102810690290955</v>
      </c>
      <c r="C545" s="71" t="n">
        <f aca="false">_xlfn.NORM.S.DIST(A545,TRUE())</f>
        <v>0.996584780526918</v>
      </c>
      <c r="D545" s="71" t="n">
        <f aca="false">B545-A545*(1-C545)</f>
        <v>0.00104290035440903</v>
      </c>
    </row>
    <row r="546" customFormat="false" ht="15" hidden="false" customHeight="true" outlineLevel="0" collapsed="false">
      <c r="A546" s="70" t="n">
        <v>2.71</v>
      </c>
      <c r="B546" s="71" t="n">
        <f aca="false">_xlfn.NORM.S.DIST(A546,FALSE())</f>
        <v>0.0101428268947871</v>
      </c>
      <c r="C546" s="71" t="n">
        <f aca="false">_xlfn.NORM.S.DIST(A546,TRUE())</f>
        <v>0.996635839593331</v>
      </c>
      <c r="D546" s="71" t="n">
        <f aca="false">B546-A546*(1-C546)</f>
        <v>0.00102595219271354</v>
      </c>
    </row>
    <row r="547" customFormat="false" ht="15" hidden="false" customHeight="true" outlineLevel="0" collapsed="false">
      <c r="A547" s="70" t="n">
        <v>2.715</v>
      </c>
      <c r="B547" s="71" t="n">
        <f aca="false">_xlfn.NORM.S.DIST(A547,FALSE())</f>
        <v>0.0100061934449807</v>
      </c>
      <c r="C547" s="71" t="n">
        <f aca="false">_xlfn.NORM.S.DIST(A547,TRUE())</f>
        <v>0.996686211477002</v>
      </c>
      <c r="D547" s="71" t="n">
        <f aca="false">B547-A547*(1-C547)</f>
        <v>0.00100925760504197</v>
      </c>
    </row>
    <row r="548" customFormat="false" ht="15" hidden="false" customHeight="true" outlineLevel="0" collapsed="false">
      <c r="A548" s="70" t="n">
        <v>2.72</v>
      </c>
      <c r="B548" s="71" t="n">
        <f aca="false">_xlfn.NORM.S.DIST(A548,FALSE())</f>
        <v>0.00987115379475113</v>
      </c>
      <c r="C548" s="71" t="n">
        <f aca="false">_xlfn.NORM.S.DIST(A548,TRUE())</f>
        <v>0.996735904184109</v>
      </c>
      <c r="D548" s="71" t="n">
        <f aca="false">B548-A548*(1-C548)</f>
        <v>0.000992813175526889</v>
      </c>
    </row>
    <row r="549" customFormat="false" ht="15" hidden="false" customHeight="true" outlineLevel="0" collapsed="false">
      <c r="A549" s="70" t="n">
        <v>2.725</v>
      </c>
      <c r="B549" s="71" t="n">
        <f aca="false">_xlfn.NORM.S.DIST(A549,FALSE())</f>
        <v>0.009737693141144</v>
      </c>
      <c r="C549" s="71" t="n">
        <f aca="false">_xlfn.NORM.S.DIST(A549,TRUE())</f>
        <v>0.996784925646606</v>
      </c>
      <c r="D549" s="71" t="n">
        <f aca="false">B549-A549*(1-C549)</f>
        <v>0.00097661552814605</v>
      </c>
    </row>
    <row r="550" customFormat="false" ht="15" hidden="false" customHeight="true" outlineLevel="0" collapsed="false">
      <c r="A550" s="70" t="n">
        <v>2.73</v>
      </c>
      <c r="B550" s="71" t="n">
        <f aca="false">_xlfn.NORM.S.DIST(A550,FALSE())</f>
        <v>0.00960579676353959</v>
      </c>
      <c r="C550" s="71" t="n">
        <f aca="false">_xlfn.NORM.S.DIST(A550,TRUE())</f>
        <v>0.996833283722642</v>
      </c>
      <c r="D550" s="71" t="n">
        <f aca="false">B550-A550*(1-C550)</f>
        <v>0.000960661326352898</v>
      </c>
    </row>
    <row r="551" customFormat="false" ht="15" hidden="false" customHeight="true" outlineLevel="0" collapsed="false">
      <c r="A551" s="70" t="n">
        <v>2.735</v>
      </c>
      <c r="B551" s="71" t="n">
        <f aca="false">_xlfn.NORM.S.DIST(A551,FALSE())</f>
        <v>0.00947545002400185</v>
      </c>
      <c r="C551" s="71" t="n">
        <f aca="false">_xlfn.NORM.S.DIST(A551,TRUE())</f>
        <v>0.996880986196967</v>
      </c>
      <c r="D551" s="71" t="n">
        <f aca="false">B551-A551*(1-C551)</f>
        <v>0.000944947272707117</v>
      </c>
    </row>
    <row r="552" customFormat="false" ht="15" hidden="false" customHeight="true" outlineLevel="0" collapsed="false">
      <c r="A552" s="70" t="n">
        <v>2.74</v>
      </c>
      <c r="B552" s="71" t="n">
        <f aca="false">_xlfn.NORM.S.DIST(A552,FALSE())</f>
        <v>0.00934663836761228</v>
      </c>
      <c r="C552" s="71" t="n">
        <f aca="false">_xlfn.NORM.S.DIST(A552,TRUE())</f>
        <v>0.99692804078135</v>
      </c>
      <c r="D552" s="71" t="n">
        <f aca="false">B552-A552*(1-C552)</f>
        <v>0.000929470108510066</v>
      </c>
    </row>
    <row r="553" customFormat="false" ht="15" hidden="false" customHeight="true" outlineLevel="0" collapsed="false">
      <c r="A553" s="70" t="n">
        <v>2.745</v>
      </c>
      <c r="B553" s="71" t="n">
        <f aca="false">_xlfn.NORM.S.DIST(A553,FALSE())</f>
        <v>0.00921934732278899</v>
      </c>
      <c r="C553" s="71" t="n">
        <f aca="false">_xlfn.NORM.S.DIST(A553,TRUE())</f>
        <v>0.996974455114991</v>
      </c>
      <c r="D553" s="71" t="n">
        <f aca="false">B553-A553*(1-C553)</f>
        <v>0.000914226613440042</v>
      </c>
    </row>
    <row r="554" customFormat="false" ht="15" hidden="false" customHeight="true" outlineLevel="0" collapsed="false">
      <c r="A554" s="70" t="n">
        <v>2.75</v>
      </c>
      <c r="B554" s="71" t="n">
        <f aca="false">_xlfn.NORM.S.DIST(A554,FALSE())</f>
        <v>0.00909356250159105</v>
      </c>
      <c r="C554" s="71" t="n">
        <f aca="false">_xlfn.NORM.S.DIST(A554,TRUE())</f>
        <v>0.997020236764945</v>
      </c>
      <c r="D554" s="71" t="n">
        <f aca="false">B554-A554*(1-C554)</f>
        <v>0.000899213605191025</v>
      </c>
    </row>
    <row r="555" customFormat="false" ht="15" hidden="false" customHeight="true" outlineLevel="0" collapsed="false">
      <c r="A555" s="70" t="n">
        <v>2.755</v>
      </c>
      <c r="B555" s="71" t="n">
        <f aca="false">_xlfn.NORM.S.DIST(A555,FALSE())</f>
        <v>0.00896926960000838</v>
      </c>
      <c r="C555" s="71" t="n">
        <f aca="false">_xlfn.NORM.S.DIST(A555,TRUE())</f>
        <v>0.997065393226535</v>
      </c>
      <c r="D555" s="71" t="n">
        <f aca="false">B555-A555*(1-C555)</f>
        <v>0.000884427939112862</v>
      </c>
    </row>
    <row r="556" customFormat="false" ht="15" hidden="false" customHeight="true" outlineLevel="0" collapsed="false">
      <c r="A556" s="70" t="n">
        <v>2.76</v>
      </c>
      <c r="B556" s="71" t="n">
        <f aca="false">_xlfn.NORM.S.DIST(A556,FALSE())</f>
        <v>0.00884645439823723</v>
      </c>
      <c r="C556" s="71" t="n">
        <f aca="false">_xlfn.NORM.S.DIST(A556,TRUE())</f>
        <v>0.997109931923774</v>
      </c>
      <c r="D556" s="71" t="n">
        <f aca="false">B556-A556*(1-C556)</f>
        <v>0.000869866507853031</v>
      </c>
    </row>
    <row r="557" customFormat="false" ht="15" hidden="false" customHeight="true" outlineLevel="0" collapsed="false">
      <c r="A557" s="70" t="n">
        <v>2.765</v>
      </c>
      <c r="B557" s="71" t="n">
        <f aca="false">_xlfn.NORM.S.DIST(A557,FALSE())</f>
        <v>0.00872510276094143</v>
      </c>
      <c r="C557" s="71" t="n">
        <f aca="false">_xlfn.NORM.S.DIST(A557,TRUE())</f>
        <v>0.997153860209787</v>
      </c>
      <c r="D557" s="71" t="n">
        <f aca="false">B557-A557*(1-C557)</f>
        <v>0.000855526241002247</v>
      </c>
    </row>
    <row r="558" customFormat="false" ht="15" hidden="false" customHeight="true" outlineLevel="0" collapsed="false">
      <c r="A558" s="70" t="n">
        <v>2.77</v>
      </c>
      <c r="B558" s="71" t="n">
        <f aca="false">_xlfn.NORM.S.DIST(A558,FALSE())</f>
        <v>0.00860520063749967</v>
      </c>
      <c r="C558" s="71" t="n">
        <f aca="false">_xlfn.NORM.S.DIST(A558,TRUE())</f>
        <v>0.997197185367235</v>
      </c>
      <c r="D558" s="71" t="n">
        <f aca="false">B558-A558*(1-C558)</f>
        <v>0.00084140410474064</v>
      </c>
    </row>
    <row r="559" customFormat="false" ht="15" hidden="false" customHeight="true" outlineLevel="0" collapsed="false">
      <c r="A559" s="70" t="n">
        <v>2.775</v>
      </c>
      <c r="B559" s="71" t="n">
        <f aca="false">_xlfn.NORM.S.DIST(A559,FALSE())</f>
        <v>0.00848673406223872</v>
      </c>
      <c r="C559" s="71" t="n">
        <f aca="false">_xlfn.NORM.S.DIST(A559,TRUE())</f>
        <v>0.997239914608738</v>
      </c>
      <c r="D559" s="71" t="n">
        <f aca="false">B559-A559*(1-C559)</f>
        <v>0.000827497101485311</v>
      </c>
    </row>
    <row r="560" customFormat="false" ht="15" hidden="false" customHeight="true" outlineLevel="0" collapsed="false">
      <c r="A560" s="70" t="n">
        <v>2.78</v>
      </c>
      <c r="B560" s="71" t="n">
        <f aca="false">_xlfn.NORM.S.DIST(A560,FALSE())</f>
        <v>0.00836968915465303</v>
      </c>
      <c r="C560" s="71" t="n">
        <f aca="false">_xlfn.NORM.S.DIST(A560,TRUE())</f>
        <v>0.997282055077299</v>
      </c>
      <c r="D560" s="71" t="n">
        <f aca="false">B560-A560*(1-C560)</f>
        <v>0.000813802269543485</v>
      </c>
    </row>
    <row r="561" customFormat="false" ht="15" hidden="false" customHeight="true" outlineLevel="0" collapsed="false">
      <c r="A561" s="70" t="n">
        <v>2.785</v>
      </c>
      <c r="B561" s="71" t="n">
        <f aca="false">_xlfn.NORM.S.DIST(A561,FALSE())</f>
        <v>0.0082540521196107</v>
      </c>
      <c r="C561" s="71" t="n">
        <f aca="false">_xlfn.NORM.S.DIST(A561,TRUE())</f>
        <v>0.997323613846734</v>
      </c>
      <c r="D561" s="71" t="n">
        <f aca="false">B561-A561*(1-C561)</f>
        <v>0.00080031668276354</v>
      </c>
    </row>
    <row r="562" customFormat="false" ht="15" hidden="false" customHeight="true" outlineLevel="0" collapsed="false">
      <c r="A562" s="70" t="n">
        <v>2.79</v>
      </c>
      <c r="B562" s="71" t="n">
        <f aca="false">_xlfn.NORM.S.DIST(A562,FALSE())</f>
        <v>0.00813980924754602</v>
      </c>
      <c r="C562" s="71" t="n">
        <f aca="false">_xlfn.NORM.S.DIST(A562,TRUE())</f>
        <v>0.997364597922095</v>
      </c>
      <c r="D562" s="71" t="n">
        <f aca="false">B562-A562*(1-C562)</f>
        <v>0.000787037450191312</v>
      </c>
    </row>
    <row r="563" customFormat="false" ht="15" hidden="false" customHeight="true" outlineLevel="0" collapsed="false">
      <c r="A563" s="70" t="n">
        <v>2.795</v>
      </c>
      <c r="B563" s="71" t="n">
        <f aca="false">_xlfn.NORM.S.DIST(A563,FALSE())</f>
        <v>0.00802694691463869</v>
      </c>
      <c r="C563" s="71" t="n">
        <f aca="false">_xlfn.NORM.S.DIST(A563,TRUE())</f>
        <v>0.997405014240103</v>
      </c>
      <c r="D563" s="71" t="n">
        <f aca="false">B563-A563*(1-C563)</f>
        <v>0.000773961715726189</v>
      </c>
    </row>
    <row r="564" customFormat="false" ht="15" hidden="false" customHeight="true" outlineLevel="0" collapsed="false">
      <c r="A564" s="70" t="n">
        <v>2.8</v>
      </c>
      <c r="B564" s="71" t="n">
        <f aca="false">_xlfn.NORM.S.DIST(A564,FALSE())</f>
        <v>0.00791545158297997</v>
      </c>
      <c r="C564" s="71" t="n">
        <f aca="false">_xlfn.NORM.S.DIST(A564,TRUE())</f>
        <v>0.997444869669572</v>
      </c>
      <c r="D564" s="71" t="n">
        <f aca="false">B564-A564*(1-C564)</f>
        <v>0.000761086657781627</v>
      </c>
    </row>
    <row r="565" customFormat="false" ht="15" hidden="false" customHeight="true" outlineLevel="0" collapsed="false">
      <c r="A565" s="70" t="n">
        <v>2.805</v>
      </c>
      <c r="B565" s="71" t="n">
        <f aca="false">_xlfn.NORM.S.DIST(A565,FALSE())</f>
        <v>0.00780530980072582</v>
      </c>
      <c r="C565" s="71" t="n">
        <f aca="false">_xlfn.NORM.S.DIST(A565,TRUE())</f>
        <v>0.997484171011844</v>
      </c>
      <c r="D565" s="71" t="n">
        <f aca="false">B565-A565*(1-C565)</f>
        <v>0.000748409488946839</v>
      </c>
    </row>
    <row r="566" customFormat="false" ht="15" hidden="false" customHeight="true" outlineLevel="0" collapsed="false">
      <c r="A566" s="70" t="n">
        <v>2.81</v>
      </c>
      <c r="B566" s="71" t="n">
        <f aca="false">_xlfn.NORM.S.DIST(A566,FALSE())</f>
        <v>0.00769650820223732</v>
      </c>
      <c r="C566" s="71" t="n">
        <f aca="false">_xlfn.NORM.S.DIST(A566,TRUE())</f>
        <v>0.997522925001214</v>
      </c>
      <c r="D566" s="71" t="n">
        <f aca="false">B566-A566*(1-C566)</f>
        <v>0.000735927455648912</v>
      </c>
    </row>
    <row r="567" customFormat="false" ht="15" hidden="false" customHeight="true" outlineLevel="0" collapsed="false">
      <c r="A567" s="70" t="n">
        <v>2.815</v>
      </c>
      <c r="B567" s="71" t="n">
        <f aca="false">_xlfn.NORM.S.DIST(A567,FALSE())</f>
        <v>0.0075890335082083</v>
      </c>
      <c r="C567" s="71" t="n">
        <f aca="false">_xlfn.NORM.S.DIST(A567,TRUE())</f>
        <v>0.997561138305369</v>
      </c>
      <c r="D567" s="71" t="n">
        <f aca="false">B567-A567*(1-C567)</f>
        <v>0.000723637837820688</v>
      </c>
    </row>
    <row r="568" customFormat="false" ht="15" hidden="false" customHeight="true" outlineLevel="0" collapsed="false">
      <c r="A568" s="70" t="n">
        <v>2.82</v>
      </c>
      <c r="B568" s="71" t="n">
        <f aca="false">_xlfn.NORM.S.DIST(A568,FALSE())</f>
        <v>0.00748287252578056</v>
      </c>
      <c r="C568" s="71" t="n">
        <f aca="false">_xlfn.NORM.S.DIST(A568,TRUE())</f>
        <v>0.997598817525811</v>
      </c>
      <c r="D568" s="71" t="n">
        <f aca="false">B568-A568*(1-C568)</f>
        <v>0.000711537948566736</v>
      </c>
    </row>
    <row r="569" customFormat="false" ht="15" hidden="false" customHeight="true" outlineLevel="0" collapsed="false">
      <c r="A569" s="70" t="n">
        <v>2.825</v>
      </c>
      <c r="B569" s="71" t="n">
        <f aca="false">_xlfn.NORM.S.DIST(A569,FALSE())</f>
        <v>0.00737801214864679</v>
      </c>
      <c r="C569" s="71" t="n">
        <f aca="false">_xlfn.NORM.S.DIST(A569,TRUE())</f>
        <v>0.997635969198297</v>
      </c>
      <c r="D569" s="71" t="n">
        <f aca="false">B569-A569*(1-C569)</f>
        <v>0.000699625133835818</v>
      </c>
    </row>
    <row r="570" customFormat="false" ht="15" hidden="false" customHeight="true" outlineLevel="0" collapsed="false">
      <c r="A570" s="70" t="n">
        <v>2.83</v>
      </c>
      <c r="B570" s="71" t="n">
        <f aca="false">_xlfn.NORM.S.DIST(A570,FALSE())</f>
        <v>0.00727443935714122</v>
      </c>
      <c r="C570" s="71" t="n">
        <f aca="false">_xlfn.NORM.S.DIST(A570,TRUE())</f>
        <v>0.997672599793269</v>
      </c>
      <c r="D570" s="71" t="n">
        <f aca="false">B570-A570*(1-C570)</f>
        <v>0.000687896772091072</v>
      </c>
    </row>
    <row r="571" customFormat="false" ht="15" hidden="false" customHeight="true" outlineLevel="0" collapsed="false">
      <c r="A571" s="70" t="n">
        <v>2.835</v>
      </c>
      <c r="B571" s="71" t="n">
        <f aca="false">_xlfn.NORM.S.DIST(A571,FALSE())</f>
        <v>0.00717214121831829</v>
      </c>
      <c r="C571" s="71" t="n">
        <f aca="false">_xlfn.NORM.S.DIST(A571,TRUE())</f>
        <v>0.997708715716285</v>
      </c>
      <c r="D571" s="71" t="n">
        <f aca="false">B571-A571*(1-C571)</f>
        <v>0.000676350273985474</v>
      </c>
    </row>
    <row r="572" customFormat="false" ht="15" hidden="false" customHeight="true" outlineLevel="0" collapsed="false">
      <c r="A572" s="70" t="n">
        <v>2.84</v>
      </c>
      <c r="B572" s="71" t="n">
        <f aca="false">_xlfn.NORM.S.DIST(A572,FALSE())</f>
        <v>0.00707110488601945</v>
      </c>
      <c r="C572" s="71" t="n">
        <f aca="false">_xlfn.NORM.S.DIST(A572,TRUE())</f>
        <v>0.997744323308458</v>
      </c>
      <c r="D572" s="71" t="n">
        <f aca="false">B572-A572*(1-C572)</f>
        <v>0.000664983082039138</v>
      </c>
    </row>
    <row r="573" customFormat="false" ht="15" hidden="false" customHeight="true" outlineLevel="0" collapsed="false">
      <c r="A573" s="70" t="n">
        <v>2.845</v>
      </c>
      <c r="B573" s="71" t="n">
        <f aca="false">_xlfn.NORM.S.DIST(A573,FALSE())</f>
        <v>0.00697131760092827</v>
      </c>
      <c r="C573" s="71" t="n">
        <f aca="false">_xlfn.NORM.S.DIST(A573,TRUE())</f>
        <v>0.997779428846885</v>
      </c>
      <c r="D573" s="71" t="n">
        <f aca="false">B573-A573*(1-C573)</f>
        <v>0.000653792670317291</v>
      </c>
    </row>
    <row r="574" customFormat="false" ht="15" hidden="false" customHeight="true" outlineLevel="0" collapsed="false">
      <c r="A574" s="70" t="n">
        <v>2.85</v>
      </c>
      <c r="B574" s="71" t="n">
        <f aca="false">_xlfn.NORM.S.DIST(A574,FALSE())</f>
        <v>0.00687276669061397</v>
      </c>
      <c r="C574" s="71" t="n">
        <f aca="false">_xlfn.NORM.S.DIST(A574,TRUE())</f>
        <v>0.997814038545087</v>
      </c>
      <c r="D574" s="71" t="n">
        <f aca="false">B574-A574*(1-C574)</f>
        <v>0.000642776544111259</v>
      </c>
    </row>
    <row r="575" customFormat="false" ht="15" hidden="false" customHeight="true" outlineLevel="0" collapsed="false">
      <c r="A575" s="70" t="n">
        <v>2.855</v>
      </c>
      <c r="B575" s="71" t="n">
        <f aca="false">_xlfn.NORM.S.DIST(A575,FALSE())</f>
        <v>0.00677543956956353</v>
      </c>
      <c r="C575" s="71" t="n">
        <f aca="false">_xlfn.NORM.S.DIST(A575,TRUE())</f>
        <v>0.997848158553436</v>
      </c>
      <c r="D575" s="71" t="n">
        <f aca="false">B575-A575*(1-C575)</f>
        <v>0.000631932239622054</v>
      </c>
    </row>
    <row r="576" customFormat="false" ht="15" hidden="false" customHeight="true" outlineLevel="0" collapsed="false">
      <c r="A576" s="70" t="n">
        <v>2.86</v>
      </c>
      <c r="B576" s="71" t="n">
        <f aca="false">_xlfn.NORM.S.DIST(A576,FALSE())</f>
        <v>0.00667932373920262</v>
      </c>
      <c r="C576" s="71" t="n">
        <f aca="false">_xlfn.NORM.S.DIST(A576,TRUE())</f>
        <v>0.997881794959595</v>
      </c>
      <c r="D576" s="71" t="n">
        <f aca="false">B576-A576*(1-C576)</f>
        <v>0.000621257323645441</v>
      </c>
    </row>
    <row r="577" customFormat="false" ht="15" hidden="false" customHeight="true" outlineLevel="0" collapsed="false">
      <c r="A577" s="70" t="n">
        <v>2.865</v>
      </c>
      <c r="B577" s="71" t="n">
        <f aca="false">_xlfn.NORM.S.DIST(A577,FALSE())</f>
        <v>0.00658440678790538</v>
      </c>
      <c r="C577" s="71" t="n">
        <f aca="false">_xlfn.NORM.S.DIST(A577,TRUE())</f>
        <v>0.997914953788955</v>
      </c>
      <c r="D577" s="71" t="n">
        <f aca="false">B577-A577*(1-C577)</f>
        <v>0.000610749393259885</v>
      </c>
    </row>
    <row r="578" customFormat="false" ht="15" hidden="false" customHeight="true" outlineLevel="0" collapsed="false">
      <c r="A578" s="70" t="n">
        <v>2.87</v>
      </c>
      <c r="B578" s="71" t="n">
        <f aca="false">_xlfn.NORM.S.DIST(A578,FALSE())</f>
        <v>0.00649067639099336</v>
      </c>
      <c r="C578" s="71" t="n">
        <f aca="false">_xlfn.NORM.S.DIST(A578,TRUE())</f>
        <v>0.99794764100506</v>
      </c>
      <c r="D578" s="71" t="n">
        <f aca="false">B578-A578*(1-C578)</f>
        <v>0.000600406075516373</v>
      </c>
    </row>
    <row r="579" customFormat="false" ht="15" hidden="false" customHeight="true" outlineLevel="0" collapsed="false">
      <c r="A579" s="70" t="n">
        <v>2.875</v>
      </c>
      <c r="B579" s="71" t="n">
        <f aca="false">_xlfn.NORM.S.DIST(A579,FALSE())</f>
        <v>0.00639812031072356</v>
      </c>
      <c r="C579" s="71" t="n">
        <f aca="false">_xlfn.NORM.S.DIST(A579,TRUE())</f>
        <v>0.997979862510054</v>
      </c>
      <c r="D579" s="71" t="n">
        <f aca="false">B579-A579*(1-C579)</f>
        <v>0.000590225027128791</v>
      </c>
    </row>
    <row r="580" customFormat="false" ht="15" hidden="false" customHeight="true" outlineLevel="0" collapsed="false">
      <c r="A580" s="70" t="n">
        <v>2.88</v>
      </c>
      <c r="B580" s="71" t="n">
        <f aca="false">_xlfn.NORM.S.DIST(A580,FALSE())</f>
        <v>0.00630672639626593</v>
      </c>
      <c r="C580" s="71" t="n">
        <f aca="false">_xlfn.NORM.S.DIST(A580,TRUE())</f>
        <v>0.998011624145106</v>
      </c>
      <c r="D580" s="71" t="n">
        <f aca="false">B580-A580*(1-C580)</f>
        <v>0.000580203934170319</v>
      </c>
    </row>
    <row r="581" customFormat="false" ht="15" hidden="false" customHeight="true" outlineLevel="0" collapsed="false">
      <c r="A581" s="70" t="n">
        <v>2.885</v>
      </c>
      <c r="B581" s="71" t="n">
        <f aca="false">_xlfn.NORM.S.DIST(A581,FALSE())</f>
        <v>0.00621648258367043</v>
      </c>
      <c r="C581" s="71" t="n">
        <f aca="false">_xlfn.NORM.S.DIST(A581,TRUE())</f>
        <v>0.998042931690848</v>
      </c>
      <c r="D581" s="71" t="n">
        <f aca="false">B581-A581*(1-C581)</f>
        <v>0.000570340511767582</v>
      </c>
    </row>
    <row r="582" customFormat="false" ht="15" hidden="false" customHeight="true" outlineLevel="0" collapsed="false">
      <c r="A582" s="70" t="n">
        <v>2.89</v>
      </c>
      <c r="B582" s="71" t="n">
        <f aca="false">_xlfn.NORM.S.DIST(A582,FALSE())</f>
        <v>0.00612737689582369</v>
      </c>
      <c r="C582" s="71" t="n">
        <f aca="false">_xlfn.NORM.S.DIST(A582,TRUE())</f>
        <v>0.998073790867812</v>
      </c>
      <c r="D582" s="71" t="n">
        <f aca="false">B582-A582*(1-C582)</f>
        <v>0.000560632503800704</v>
      </c>
    </row>
    <row r="583" customFormat="false" ht="15" hidden="false" customHeight="true" outlineLevel="0" collapsed="false">
      <c r="A583" s="70" t="n">
        <v>2.895</v>
      </c>
      <c r="B583" s="71" t="n">
        <f aca="false">_xlfn.NORM.S.DIST(A583,FALSE())</f>
        <v>0.00603939744239561</v>
      </c>
      <c r="C583" s="71" t="n">
        <f aca="false">_xlfn.NORM.S.DIST(A583,TRUE())</f>
        <v>0.998104207336859</v>
      </c>
      <c r="D583" s="71" t="n">
        <f aca="false">B583-A583*(1-C583)</f>
        <v>0.000551077682602431</v>
      </c>
    </row>
    <row r="584" customFormat="false" ht="15" hidden="false" customHeight="true" outlineLevel="0" collapsed="false">
      <c r="A584" s="70" t="n">
        <v>2.9</v>
      </c>
      <c r="B584" s="71" t="n">
        <f aca="false">_xlfn.NORM.S.DIST(A584,FALSE())</f>
        <v>0.00595253241977585</v>
      </c>
      <c r="C584" s="71" t="n">
        <f aca="false">_xlfn.NORM.S.DIST(A584,TRUE())</f>
        <v>0.998134186699616</v>
      </c>
      <c r="D584" s="71" t="n">
        <f aca="false">B584-A584*(1-C584)</f>
        <v>0.000541673848662124</v>
      </c>
    </row>
    <row r="585" customFormat="false" ht="15" hidden="false" customHeight="true" outlineLevel="0" collapsed="false">
      <c r="A585" s="70" t="n">
        <v>2.905</v>
      </c>
      <c r="B585" s="71" t="n">
        <f aca="false">_xlfn.NORM.S.DIST(A585,FALSE())</f>
        <v>0.0058667701110006</v>
      </c>
      <c r="C585" s="71" t="n">
        <f aca="false">_xlfn.NORM.S.DIST(A585,TRUE())</f>
        <v>0.998163734498908</v>
      </c>
      <c r="D585" s="71" t="n">
        <f aca="false">B585-A585*(1-C585)</f>
        <v>0.000532418830329454</v>
      </c>
    </row>
    <row r="586" customFormat="false" ht="15" hidden="false" customHeight="true" outlineLevel="0" collapsed="false">
      <c r="A586" s="70" t="n">
        <v>2.91</v>
      </c>
      <c r="B586" s="71" t="n">
        <f aca="false">_xlfn.NORM.S.DIST(A586,FALSE())</f>
        <v>0.00578209888566947</v>
      </c>
      <c r="C586" s="71" t="n">
        <f aca="false">_xlfn.NORM.S.DIST(A586,TRUE())</f>
        <v>0.998192856219194</v>
      </c>
      <c r="D586" s="71" t="n">
        <f aca="false">B586-A586*(1-C586)</f>
        <v>0.000523310483522921</v>
      </c>
    </row>
    <row r="587" customFormat="false" ht="15" hidden="false" customHeight="true" outlineLevel="0" collapsed="false">
      <c r="A587" s="70" t="n">
        <v>2.915</v>
      </c>
      <c r="B587" s="71" t="n">
        <f aca="false">_xlfn.NORM.S.DIST(A587,FALSE())</f>
        <v>0.00569850719985308</v>
      </c>
      <c r="C587" s="71" t="n">
        <f aca="false">_xlfn.NORM.S.DIST(A587,TRUE())</f>
        <v>0.998221557286993</v>
      </c>
      <c r="D587" s="71" t="n">
        <f aca="false">B587-A587*(1-C587)</f>
        <v>0.00051434669143709</v>
      </c>
    </row>
    <row r="588" customFormat="false" ht="15" hidden="false" customHeight="true" outlineLevel="0" collapsed="false">
      <c r="A588" s="70" t="n">
        <v>2.92</v>
      </c>
      <c r="B588" s="71" t="n">
        <f aca="false">_xlfn.NORM.S.DIST(A588,FALSE())</f>
        <v>0.00561598359599097</v>
      </c>
      <c r="C588" s="71" t="n">
        <f aca="false">_xlfn.NORM.S.DIST(A588,TRUE())</f>
        <v>0.998249843071324</v>
      </c>
      <c r="D588" s="71" t="n">
        <f aca="false">B588-A588*(1-C588)</f>
        <v>0.000505525364256806</v>
      </c>
    </row>
    <row r="589" customFormat="false" ht="15" hidden="false" customHeight="true" outlineLevel="0" collapsed="false">
      <c r="A589" s="70" t="n">
        <v>2.925</v>
      </c>
      <c r="B589" s="71" t="n">
        <f aca="false">_xlfn.NORM.S.DIST(A589,FALSE())</f>
        <v>0.0055345167027805</v>
      </c>
      <c r="C589" s="71" t="n">
        <f aca="false">_xlfn.NORM.S.DIST(A589,TRUE())</f>
        <v>0.998277718884132</v>
      </c>
      <c r="D589" s="71" t="n">
        <f aca="false">B589-A589*(1-C589)</f>
        <v>0.000496844438867815</v>
      </c>
    </row>
    <row r="590" customFormat="false" ht="15" hidden="false" customHeight="true" outlineLevel="0" collapsed="false">
      <c r="A590" s="70" t="n">
        <v>2.93</v>
      </c>
      <c r="B590" s="71" t="n">
        <f aca="false">_xlfn.NORM.S.DIST(A590,FALSE())</f>
        <v>0.00545409523505655</v>
      </c>
      <c r="C590" s="71" t="n">
        <f aca="false">_xlfn.NORM.S.DIST(A590,TRUE())</f>
        <v>0.998305189980723</v>
      </c>
      <c r="D590" s="71" t="n">
        <f aca="false">B590-A590*(1-C590)</f>
        <v>0.000488301878574076</v>
      </c>
    </row>
    <row r="591" customFormat="false" ht="15" hidden="false" customHeight="true" outlineLevel="0" collapsed="false">
      <c r="A591" s="70" t="n">
        <v>2.935</v>
      </c>
      <c r="B591" s="71" t="n">
        <f aca="false">_xlfn.NORM.S.DIST(A591,FALSE())</f>
        <v>0.00537470799366225</v>
      </c>
      <c r="C591" s="71" t="n">
        <f aca="false">_xlfn.NORM.S.DIST(A591,TRUE())</f>
        <v>0.998332261560189</v>
      </c>
      <c r="D591" s="71" t="n">
        <f aca="false">B591-A591*(1-C591)</f>
        <v>0.000479895672816169</v>
      </c>
    </row>
    <row r="592" customFormat="false" ht="15" hidden="false" customHeight="true" outlineLevel="0" collapsed="false">
      <c r="A592" s="70" t="n">
        <v>2.94</v>
      </c>
      <c r="B592" s="71" t="n">
        <f aca="false">_xlfn.NORM.S.DIST(A592,FALSE())</f>
        <v>0.00529634386531102</v>
      </c>
      <c r="C592" s="71" t="n">
        <f aca="false">_xlfn.NORM.S.DIST(A592,TRUE())</f>
        <v>0.998358938765843</v>
      </c>
      <c r="D592" s="71" t="n">
        <f aca="false">B592-A592*(1-C592)</f>
        <v>0.000471623836889526</v>
      </c>
    </row>
    <row r="593" customFormat="false" ht="15" hidden="false" customHeight="true" outlineLevel="0" collapsed="false">
      <c r="A593" s="70" t="n">
        <v>2.945</v>
      </c>
      <c r="B593" s="71" t="n">
        <f aca="false">_xlfn.NORM.S.DIST(A593,FALSE())</f>
        <v>0.0052189918224398</v>
      </c>
      <c r="C593" s="71" t="n">
        <f aca="false">_xlfn.NORM.S.DIST(A593,TRUE())</f>
        <v>0.998385226685646</v>
      </c>
      <c r="D593" s="71" t="n">
        <f aca="false">B593-A593*(1-C593)</f>
        <v>0.000463484411667916</v>
      </c>
    </row>
    <row r="594" customFormat="false" ht="15" hidden="false" customHeight="true" outlineLevel="0" collapsed="false">
      <c r="A594" s="70" t="n">
        <v>2.95</v>
      </c>
      <c r="B594" s="71" t="n">
        <f aca="false">_xlfn.NORM.S.DIST(A594,FALSE())</f>
        <v>0.00514264092305394</v>
      </c>
      <c r="C594" s="71" t="n">
        <f aca="false">_xlfn.NORM.S.DIST(A594,TRUE())</f>
        <v>0.998411130352635</v>
      </c>
      <c r="D594" s="71" t="n">
        <f aca="false">B594-A594*(1-C594)</f>
        <v>0.000455475463327717</v>
      </c>
    </row>
    <row r="595" customFormat="false" ht="15" hidden="false" customHeight="true" outlineLevel="0" collapsed="false">
      <c r="A595" s="70" t="n">
        <v>2.955</v>
      </c>
      <c r="B595" s="71" t="n">
        <f aca="false">_xlfn.NORM.S.DIST(A595,FALSE())</f>
        <v>0.00506728031056368</v>
      </c>
      <c r="C595" s="71" t="n">
        <f aca="false">_xlfn.NORM.S.DIST(A595,TRUE())</f>
        <v>0.99843665474535</v>
      </c>
      <c r="D595" s="71" t="n">
        <f aca="false">B595-A595*(1-C595)</f>
        <v>0.000447595083073375</v>
      </c>
    </row>
    <row r="596" customFormat="false" ht="15" hidden="false" customHeight="true" outlineLevel="0" collapsed="false">
      <c r="A596" s="70" t="n">
        <v>2.96</v>
      </c>
      <c r="B596" s="71" t="n">
        <f aca="false">_xlfn.NORM.S.DIST(A596,FALSE())</f>
        <v>0.00499289921361238</v>
      </c>
      <c r="C596" s="71" t="n">
        <f aca="false">_xlfn.NORM.S.DIST(A596,TRUE())</f>
        <v>0.998461804788262</v>
      </c>
      <c r="D596" s="71" t="n">
        <f aca="false">B596-A596*(1-C596)</f>
        <v>0.00043984138686779</v>
      </c>
    </row>
    <row r="597" customFormat="false" ht="15" hidden="false" customHeight="true" outlineLevel="0" collapsed="false">
      <c r="A597" s="70" t="n">
        <v>2.965</v>
      </c>
      <c r="B597" s="71" t="n">
        <f aca="false">_xlfn.NORM.S.DIST(A597,FALSE())</f>
        <v>0.0049194869458967</v>
      </c>
      <c r="C597" s="71" t="n">
        <f aca="false">_xlfn.NORM.S.DIST(A597,TRUE())</f>
        <v>0.998486585352197</v>
      </c>
      <c r="D597" s="71" t="n">
        <f aca="false">B597-A597*(1-C597)</f>
        <v>0.000432212515160568</v>
      </c>
    </row>
    <row r="598" customFormat="false" ht="15" hidden="false" customHeight="true" outlineLevel="0" collapsed="false">
      <c r="A598" s="70" t="n">
        <v>2.97</v>
      </c>
      <c r="B598" s="71" t="n">
        <f aca="false">_xlfn.NORM.S.DIST(A598,FALSE())</f>
        <v>0.00484703290597895</v>
      </c>
      <c r="C598" s="71" t="n">
        <f aca="false">_xlfn.NORM.S.DIST(A598,TRUE())</f>
        <v>0.998511001254763</v>
      </c>
      <c r="D598" s="71" t="n">
        <f aca="false">B598-A598*(1-C598)</f>
        <v>0.000424706632623729</v>
      </c>
    </row>
    <row r="599" customFormat="false" ht="15" hidden="false" customHeight="true" outlineLevel="0" collapsed="false">
      <c r="A599" s="70" t="n">
        <v>2.975</v>
      </c>
      <c r="B599" s="71" t="n">
        <f aca="false">_xlfn.NORM.S.DIST(A599,FALSE())</f>
        <v>0.00477552657709156</v>
      </c>
      <c r="C599" s="71" t="n">
        <f aca="false">_xlfn.NORM.S.DIST(A599,TRUE())</f>
        <v>0.99853505726077</v>
      </c>
      <c r="D599" s="71" t="n">
        <f aca="false">B599-A599*(1-C599)</f>
        <v>0.000417321927883525</v>
      </c>
    </row>
    <row r="600" customFormat="false" ht="15" hidden="false" customHeight="true" outlineLevel="0" collapsed="false">
      <c r="A600" s="70" t="n">
        <v>2.98</v>
      </c>
      <c r="B600" s="71" t="n">
        <f aca="false">_xlfn.NORM.S.DIST(A600,FALSE())</f>
        <v>0.00470495752693398</v>
      </c>
      <c r="C600" s="71" t="n">
        <f aca="false">_xlfn.NORM.S.DIST(A600,TRUE())</f>
        <v>0.99855875808266</v>
      </c>
      <c r="D600" s="71" t="n">
        <f aca="false">B600-A600*(1-C600)</f>
        <v>0.000410056613260887</v>
      </c>
    </row>
    <row r="601" customFormat="false" ht="15" hidden="false" customHeight="true" outlineLevel="0" collapsed="false">
      <c r="A601" s="70" t="n">
        <v>2.985</v>
      </c>
      <c r="B601" s="71" t="n">
        <f aca="false">_xlfn.NORM.S.DIST(A601,FALSE())</f>
        <v>0.00463531540746207</v>
      </c>
      <c r="C601" s="71" t="n">
        <f aca="false">_xlfn.NORM.S.DIST(A601,TRUE())</f>
        <v>0.99858210838092</v>
      </c>
      <c r="D601" s="71" t="n">
        <f aca="false">B601-A601*(1-C601)</f>
        <v>0.000402908924507233</v>
      </c>
    </row>
    <row r="602" customFormat="false" ht="15" hidden="false" customHeight="true" outlineLevel="0" collapsed="false">
      <c r="A602" s="70" t="n">
        <v>2.99</v>
      </c>
      <c r="B602" s="71" t="n">
        <f aca="false">_xlfn.NORM.S.DIST(A602,FALSE())</f>
        <v>0.00456658995467015</v>
      </c>
      <c r="C602" s="71" t="n">
        <f aca="false">_xlfn.NORM.S.DIST(A602,TRUE())</f>
        <v>0.998605112764508</v>
      </c>
      <c r="D602" s="71" t="n">
        <f aca="false">B602-A602*(1-C602)</f>
        <v>0.000395877120548489</v>
      </c>
    </row>
    <row r="603" customFormat="false" ht="15" hidden="false" customHeight="true" outlineLevel="0" collapsed="false">
      <c r="A603" s="70" t="n">
        <v>2.995</v>
      </c>
      <c r="B603" s="71" t="n">
        <f aca="false">_xlfn.NORM.S.DIST(A603,FALSE())</f>
        <v>0.00449877098836587</v>
      </c>
      <c r="C603" s="71" t="n">
        <f aca="false">_xlfn.NORM.S.DIST(A603,TRUE())</f>
        <v>0.998627775791273</v>
      </c>
      <c r="D603" s="71" t="n">
        <f aca="false">B603-A603*(1-C603)</f>
        <v>0.000388959483226972</v>
      </c>
    </row>
    <row r="604" customFormat="false" ht="15" hidden="false" customHeight="true" outlineLevel="0" collapsed="false">
      <c r="A604" s="70" t="n">
        <v>3</v>
      </c>
      <c r="B604" s="71" t="n">
        <f aca="false">_xlfn.NORM.S.DIST(A604,FALSE())</f>
        <v>0.00443184841193801</v>
      </c>
      <c r="C604" s="71" t="n">
        <f aca="false">_xlfn.NORM.S.DIST(A604,TRUE())</f>
        <v>0.99865010196837</v>
      </c>
      <c r="D604" s="71" t="n">
        <f aca="false">B604-A604*(1-C604)</f>
        <v>0.000382154317047697</v>
      </c>
    </row>
    <row r="605" customFormat="false" ht="15" hidden="false" customHeight="true" outlineLevel="0" collapsed="false">
      <c r="A605" s="70" t="n">
        <v>3.005</v>
      </c>
      <c r="B605" s="71" t="n">
        <f aca="false">_xlfn.NORM.S.DIST(A605,FALSE())</f>
        <v>0.00436581221211727</v>
      </c>
      <c r="C605" s="71" t="n">
        <f aca="false">_xlfn.NORM.S.DIST(A605,TRUE())</f>
        <v>0.998672095752682</v>
      </c>
      <c r="D605" s="71" t="n">
        <f aca="false">B605-A605*(1-C605)</f>
        <v>0.000375459948925376</v>
      </c>
    </row>
    <row r="606" customFormat="false" ht="15" hidden="false" customHeight="true" outlineLevel="0" collapsed="false">
      <c r="A606" s="70" t="n">
        <v>3.01</v>
      </c>
      <c r="B606" s="71" t="n">
        <f aca="false">_xlfn.NORM.S.DIST(A606,FALSE())</f>
        <v>0.00430065245873045</v>
      </c>
      <c r="C606" s="71" t="n">
        <f aca="false">_xlfn.NORM.S.DIST(A606,TRUE())</f>
        <v>0.998693761551231</v>
      </c>
      <c r="D606" s="71" t="n">
        <f aca="false">B606-A606*(1-C606)</f>
        <v>0.000368874727934479</v>
      </c>
    </row>
    <row r="607" customFormat="false" ht="15" hidden="false" customHeight="true" outlineLevel="0" collapsed="false">
      <c r="A607" s="70" t="n">
        <v>3.015</v>
      </c>
      <c r="B607" s="71" t="n">
        <f aca="false">_xlfn.NORM.S.DIST(A607,FALSE())</f>
        <v>0.00423635930444779</v>
      </c>
      <c r="C607" s="71" t="n">
        <f aca="false">_xlfn.NORM.S.DIST(A607,TRUE())</f>
        <v>0.998715103721596</v>
      </c>
      <c r="D607" s="71" t="n">
        <f aca="false">B607-A607*(1-C607)</f>
        <v>0.00036239702506006</v>
      </c>
    </row>
    <row r="608" customFormat="false" ht="15" hidden="false" customHeight="true" outlineLevel="0" collapsed="false">
      <c r="A608" s="70" t="n">
        <v>3.02</v>
      </c>
      <c r="B608" s="71" t="n">
        <f aca="false">_xlfn.NORM.S.DIST(A608,FALSE())</f>
        <v>0.00417292298452396</v>
      </c>
      <c r="C608" s="71" t="n">
        <f aca="false">_xlfn.NORM.S.DIST(A608,TRUE())</f>
        <v>0.998736126572328</v>
      </c>
      <c r="D608" s="71" t="n">
        <f aca="false">B608-A608*(1-C608)</f>
        <v>0.000356025232953577</v>
      </c>
    </row>
    <row r="609" customFormat="false" ht="15" hidden="false" customHeight="true" outlineLevel="0" collapsed="false">
      <c r="A609" s="70" t="n">
        <v>3.025</v>
      </c>
      <c r="B609" s="71" t="n">
        <f aca="false">_xlfn.NORM.S.DIST(A609,FALSE())</f>
        <v>0.00411033381653256</v>
      </c>
      <c r="C609" s="71" t="n">
        <f aca="false">_xlfn.NORM.S.DIST(A609,TRUE())</f>
        <v>0.998756834363357</v>
      </c>
      <c r="D609" s="71" t="n">
        <f aca="false">B609-A609*(1-C609)</f>
        <v>0.000349757765686626</v>
      </c>
    </row>
    <row r="610" customFormat="false" ht="15" hidden="false" customHeight="true" outlineLevel="0" collapsed="false">
      <c r="A610" s="70" t="n">
        <v>3.03</v>
      </c>
      <c r="B610" s="71" t="n">
        <f aca="false">_xlfn.NORM.S.DIST(A610,FALSE())</f>
        <v>0.00404858220009443</v>
      </c>
      <c r="C610" s="71" t="n">
        <f aca="false">_xlfn.NORM.S.DIST(A610,TRUE())</f>
        <v>0.998777231306408</v>
      </c>
      <c r="D610" s="71" t="n">
        <f aca="false">B610-A610*(1-C610)</f>
        <v>0.000343593058509822</v>
      </c>
    </row>
    <row r="611" customFormat="false" ht="15" hidden="false" customHeight="true" outlineLevel="0" collapsed="false">
      <c r="A611" s="70" t="n">
        <v>3.035</v>
      </c>
      <c r="B611" s="71" t="n">
        <f aca="false">_xlfn.NORM.S.DIST(A611,FALSE())</f>
        <v>0.00398765861659985</v>
      </c>
      <c r="C611" s="71" t="n">
        <f aca="false">_xlfn.NORM.S.DIST(A611,TRUE())</f>
        <v>0.998797321565408</v>
      </c>
      <c r="D611" s="71" t="n">
        <f aca="false">B611-A611*(1-C611)</f>
        <v>0.000337529567613174</v>
      </c>
    </row>
    <row r="612" customFormat="false" ht="15" hidden="false" customHeight="true" outlineLevel="0" collapsed="false">
      <c r="A612" s="70" t="n">
        <v>3.04</v>
      </c>
      <c r="B612" s="71" t="n">
        <f aca="false">_xlfn.NORM.S.DIST(A612,FALSE())</f>
        <v>0.00392755362892478</v>
      </c>
      <c r="C612" s="71" t="n">
        <f aca="false">_xlfn.NORM.S.DIST(A612,TRUE())</f>
        <v>0.998817109256896</v>
      </c>
      <c r="D612" s="71" t="n">
        <f aca="false">B612-A612*(1-C612)</f>
        <v>0.000331565769887393</v>
      </c>
    </row>
    <row r="613" customFormat="false" ht="15" hidden="false" customHeight="true" outlineLevel="0" collapsed="false">
      <c r="A613" s="70" t="n">
        <v>3.045</v>
      </c>
      <c r="B613" s="71" t="n">
        <f aca="false">_xlfn.NORM.S.DIST(A613,FALSE())</f>
        <v>0.0038682578811412</v>
      </c>
      <c r="C613" s="71" t="n">
        <f aca="false">_xlfn.NORM.S.DIST(A613,TRUE())</f>
        <v>0.998836598450426</v>
      </c>
      <c r="D613" s="71" t="n">
        <f aca="false">B613-A613*(1-C613)</f>
        <v>0.000325700162688182</v>
      </c>
    </row>
    <row r="614" customFormat="false" ht="15" hidden="false" customHeight="true" outlineLevel="0" collapsed="false">
      <c r="A614" s="70" t="n">
        <v>3.05</v>
      </c>
      <c r="B614" s="71" t="n">
        <f aca="false">_xlfn.NORM.S.DIST(A614,FALSE())</f>
        <v>0.00380976209822181</v>
      </c>
      <c r="C614" s="71" t="n">
        <f aca="false">_xlfn.NORM.S.DIST(A614,TRUE())</f>
        <v>0.998855793168977</v>
      </c>
      <c r="D614" s="71" t="n">
        <f aca="false">B614-A614*(1-C614)</f>
        <v>0.000319931263602649</v>
      </c>
    </row>
    <row r="615" customFormat="false" ht="15" hidden="false" customHeight="true" outlineLevel="0" collapsed="false">
      <c r="A615" s="70" t="n">
        <v>3.055</v>
      </c>
      <c r="B615" s="71" t="n">
        <f aca="false">_xlfn.NORM.S.DIST(A615,FALSE())</f>
        <v>0.00375205708573911</v>
      </c>
      <c r="C615" s="71" t="n">
        <f aca="false">_xlfn.NORM.S.DIST(A615,TRUE())</f>
        <v>0.998874697389354</v>
      </c>
      <c r="D615" s="71" t="n">
        <f aca="false">B615-A615*(1-C615)</f>
        <v>0.000314257610216846</v>
      </c>
    </row>
    <row r="616" customFormat="false" ht="15" hidden="false" customHeight="true" outlineLevel="0" collapsed="false">
      <c r="A616" s="70" t="n">
        <v>3.06</v>
      </c>
      <c r="B616" s="71" t="n">
        <f aca="false">_xlfn.NORM.S.DIST(A616,FALSE())</f>
        <v>0.00369513372955904</v>
      </c>
      <c r="C616" s="71" t="n">
        <f aca="false">_xlfn.NORM.S.DIST(A616,TRUE())</f>
        <v>0.998893315042591</v>
      </c>
      <c r="D616" s="71" t="n">
        <f aca="false">B616-A616*(1-C616)</f>
        <v>0.000308677759886615</v>
      </c>
    </row>
    <row r="617" customFormat="false" ht="15" hidden="false" customHeight="true" outlineLevel="0" collapsed="false">
      <c r="A617" s="70" t="n">
        <v>3.065</v>
      </c>
      <c r="B617" s="71" t="n">
        <f aca="false">_xlfn.NORM.S.DIST(A617,FALSE())</f>
        <v>0.00363898299552927</v>
      </c>
      <c r="C617" s="71" t="n">
        <f aca="false">_xlfn.NORM.S.DIST(A617,TRUE())</f>
        <v>0.998911650014349</v>
      </c>
      <c r="D617" s="71" t="n">
        <f aca="false">B617-A617*(1-C617)</f>
        <v>0.000303190289509314</v>
      </c>
    </row>
    <row r="618" customFormat="false" ht="15" hidden="false" customHeight="true" outlineLevel="0" collapsed="false">
      <c r="A618" s="70" t="n">
        <v>3.07</v>
      </c>
      <c r="B618" s="71" t="n">
        <f aca="false">_xlfn.NORM.S.DIST(A618,FALSE())</f>
        <v>0.00358359592916236</v>
      </c>
      <c r="C618" s="71" t="n">
        <f aca="false">_xlfn.NORM.S.DIST(A618,TRUE())</f>
        <v>0.998929706145321</v>
      </c>
      <c r="D618" s="71" t="n">
        <f aca="false">B618-A618*(1-C618)</f>
        <v>0.00029779379529802</v>
      </c>
    </row>
    <row r="619" customFormat="false" ht="15" hidden="false" customHeight="true" outlineLevel="0" collapsed="false">
      <c r="A619" s="70" t="n">
        <v>3.075</v>
      </c>
      <c r="B619" s="71" t="n">
        <f aca="false">_xlfn.NORM.S.DIST(A619,FALSE())</f>
        <v>0.00352896365531376</v>
      </c>
      <c r="C619" s="71" t="n">
        <f aca="false">_xlfn.NORM.S.DIST(A619,TRUE())</f>
        <v>0.998947487231624</v>
      </c>
      <c r="D619" s="71" t="n">
        <f aca="false">B619-A619*(1-C619)</f>
        <v>0.000292486892557451</v>
      </c>
    </row>
    <row r="620" customFormat="false" ht="15" hidden="false" customHeight="true" outlineLevel="0" collapsed="false">
      <c r="A620" s="70" t="n">
        <v>3.08</v>
      </c>
      <c r="B620" s="71" t="n">
        <f aca="false">_xlfn.NORM.S.DIST(A620,FALSE())</f>
        <v>0.00347507737785494</v>
      </c>
      <c r="C620" s="71" t="n">
        <f aca="false">_xlfn.NORM.S.DIST(A620,TRUE())</f>
        <v>0.998964997025197</v>
      </c>
      <c r="D620" s="71" t="n">
        <f aca="false">B620-A620*(1-C620)</f>
        <v>0.000287268215462139</v>
      </c>
    </row>
    <row r="621" customFormat="false" ht="15" hidden="false" customHeight="true" outlineLevel="0" collapsed="false">
      <c r="A621" s="70" t="n">
        <v>3.085</v>
      </c>
      <c r="B621" s="71" t="n">
        <f aca="false">_xlfn.NORM.S.DIST(A621,FALSE())</f>
        <v>0.00342192837934164</v>
      </c>
      <c r="C621" s="71" t="n">
        <f aca="false">_xlfn.NORM.S.DIST(A621,TRUE())</f>
        <v>0.998982239234196</v>
      </c>
      <c r="D621" s="71" t="n">
        <f aca="false">B621-A621*(1-C621)</f>
        <v>0.000282136416837467</v>
      </c>
    </row>
    <row r="622" customFormat="false" ht="15" hidden="false" customHeight="true" outlineLevel="0" collapsed="false">
      <c r="A622" s="70" t="n">
        <v>3.09</v>
      </c>
      <c r="B622" s="71" t="n">
        <f aca="false">_xlfn.NORM.S.DIST(A622,FALSE())</f>
        <v>0.00336950802067748</v>
      </c>
      <c r="C622" s="71" t="n">
        <f aca="false">_xlfn.NORM.S.DIST(A622,TRUE())</f>
        <v>0.998999217523386</v>
      </c>
      <c r="D622" s="71" t="n">
        <f aca="false">B622-A622*(1-C622)</f>
        <v>0.000277090167940038</v>
      </c>
    </row>
    <row r="623" customFormat="false" ht="15" hidden="false" customHeight="true" outlineLevel="0" collapsed="false">
      <c r="A623" s="70" t="n">
        <v>3.095</v>
      </c>
      <c r="B623" s="71" t="n">
        <f aca="false">_xlfn.NORM.S.DIST(A623,FALSE())</f>
        <v>0.00331780774077294</v>
      </c>
      <c r="C623" s="71" t="n">
        <f aca="false">_xlfn.NORM.S.DIST(A623,TRUE())</f>
        <v>0.99901593551453</v>
      </c>
      <c r="D623" s="71" t="n">
        <f aca="false">B623-A623*(1-C623)</f>
        <v>0.00027212815824345</v>
      </c>
    </row>
    <row r="624" customFormat="false" ht="15" hidden="false" customHeight="true" outlineLevel="0" collapsed="false">
      <c r="A624" s="70" t="n">
        <v>3.1</v>
      </c>
      <c r="B624" s="71" t="n">
        <f aca="false">_xlfn.NORM.S.DIST(A624,FALSE())</f>
        <v>0.00326681905619992</v>
      </c>
      <c r="C624" s="71" t="n">
        <f aca="false">_xlfn.NORM.S.DIST(A624,TRUE())</f>
        <v>0.999032396786782</v>
      </c>
      <c r="D624" s="71" t="n">
        <f aca="false">B624-A624*(1-C624)</f>
        <v>0.000267249095223141</v>
      </c>
    </row>
    <row r="625" customFormat="false" ht="15" hidden="false" customHeight="true" outlineLevel="0" collapsed="false">
      <c r="A625" s="70" t="n">
        <v>3.105</v>
      </c>
      <c r="B625" s="71" t="n">
        <f aca="false">_xlfn.NORM.S.DIST(A625,FALSE())</f>
        <v>0.00321653356084193</v>
      </c>
      <c r="C625" s="71" t="n">
        <f aca="false">_xlfn.NORM.S.DIST(A625,TRUE())</f>
        <v>0.99904860487707</v>
      </c>
      <c r="D625" s="71" t="n">
        <f aca="false">B625-A625*(1-C625)</f>
        <v>0.000262451704143694</v>
      </c>
    </row>
    <row r="626" customFormat="false" ht="15" hidden="false" customHeight="true" outlineLevel="0" collapsed="false">
      <c r="A626" s="70" t="n">
        <v>3.11</v>
      </c>
      <c r="B626" s="71" t="n">
        <f aca="false">_xlfn.NORM.S.DIST(A626,FALSE())</f>
        <v>0.00316694292554008</v>
      </c>
      <c r="C626" s="71" t="n">
        <f aca="false">_xlfn.NORM.S.DIST(A626,TRUE())</f>
        <v>0.999064563280486</v>
      </c>
      <c r="D626" s="71" t="n">
        <f aca="false">B626-A626*(1-C626)</f>
        <v>0.000257734727851148</v>
      </c>
    </row>
    <row r="627" customFormat="false" ht="15" hidden="false" customHeight="true" outlineLevel="0" collapsed="false">
      <c r="A627" s="70" t="n">
        <v>3.115</v>
      </c>
      <c r="B627" s="71" t="n">
        <f aca="false">_xlfn.NORM.S.DIST(A627,FALSE())</f>
        <v>0.00311803889773501</v>
      </c>
      <c r="C627" s="71" t="n">
        <f aca="false">_xlfn.NORM.S.DIST(A627,TRUE())</f>
        <v>0.999080275450667</v>
      </c>
      <c r="D627" s="71" t="n">
        <f aca="false">B627-A627*(1-C627)</f>
        <v>0.000253096926562085</v>
      </c>
    </row>
    <row r="628" customFormat="false" ht="15" hidden="false" customHeight="true" outlineLevel="0" collapsed="false">
      <c r="A628" s="70" t="n">
        <v>3.12</v>
      </c>
      <c r="B628" s="71" t="n">
        <f aca="false">_xlfn.NORM.S.DIST(A628,FALSE())</f>
        <v>0.00306981330110474</v>
      </c>
      <c r="C628" s="71" t="n">
        <f aca="false">_xlfn.NORM.S.DIST(A628,TRUE())</f>
        <v>0.999095744800178</v>
      </c>
      <c r="D628" s="71" t="n">
        <f aca="false">B628-A628*(1-C628)</f>
        <v>0.000248537077659195</v>
      </c>
    </row>
    <row r="629" customFormat="false" ht="15" hidden="false" customHeight="true" outlineLevel="0" collapsed="false">
      <c r="A629" s="70" t="n">
        <v>3.125</v>
      </c>
      <c r="B629" s="71" t="n">
        <f aca="false">_xlfn.NORM.S.DIST(A629,FALSE())</f>
        <v>0.00302225803519876</v>
      </c>
      <c r="C629" s="71" t="n">
        <f aca="false">_xlfn.NORM.S.DIST(A629,TRUE())</f>
        <v>0.999110974700892</v>
      </c>
      <c r="D629" s="71" t="n">
        <f aca="false">B629-A629*(1-C629)</f>
        <v>0.00024405397548503</v>
      </c>
    </row>
    <row r="630" customFormat="false" ht="15" hidden="false" customHeight="true" outlineLevel="0" collapsed="false">
      <c r="A630" s="70" t="n">
        <v>3.13</v>
      </c>
      <c r="B630" s="71" t="n">
        <f aca="false">_xlfn.NORM.S.DIST(A630,FALSE())</f>
        <v>0.00297536507506825</v>
      </c>
      <c r="C630" s="71" t="n">
        <f aca="false">_xlfn.NORM.S.DIST(A630,TRUE())</f>
        <v>0.999125968484368</v>
      </c>
      <c r="D630" s="71" t="n">
        <f aca="false">B630-A630*(1-C630)</f>
        <v>0.000239646431141376</v>
      </c>
    </row>
    <row r="631" customFormat="false" ht="15" hidden="false" customHeight="true" outlineLevel="0" collapsed="false">
      <c r="A631" s="70" t="n">
        <v>3.135</v>
      </c>
      <c r="B631" s="71" t="n">
        <f aca="false">_xlfn.NORM.S.DIST(A631,FALSE())</f>
        <v>0.0029291264708928</v>
      </c>
      <c r="C631" s="71" t="n">
        <f aca="false">_xlfn.NORM.S.DIST(A631,TRUE())</f>
        <v>0.999140729442231</v>
      </c>
      <c r="D631" s="71" t="n">
        <f aca="false">B631-A631*(1-C631)</f>
        <v>0.000235313272287965</v>
      </c>
    </row>
    <row r="632" customFormat="false" ht="15" hidden="false" customHeight="true" outlineLevel="0" collapsed="false">
      <c r="A632" s="70" t="n">
        <v>3.14</v>
      </c>
      <c r="B632" s="71" t="n">
        <f aca="false">_xlfn.NORM.S.DIST(A632,FALSE())</f>
        <v>0.00288353434760344</v>
      </c>
      <c r="C632" s="71" t="n">
        <f aca="false">_xlfn.NORM.S.DIST(A632,TRUE())</f>
        <v>0.999155260826541</v>
      </c>
      <c r="D632" s="71" t="n">
        <f aca="false">B632-A632*(1-C632)</f>
        <v>0.000231053342943374</v>
      </c>
    </row>
    <row r="633" customFormat="false" ht="15" hidden="false" customHeight="true" outlineLevel="0" collapsed="false">
      <c r="A633" s="70" t="n">
        <v>3.145</v>
      </c>
      <c r="B633" s="71" t="n">
        <f aca="false">_xlfn.NORM.S.DIST(A633,FALSE())</f>
        <v>0.0028385809045024</v>
      </c>
      <c r="C633" s="71" t="n">
        <f aca="false">_xlfn.NORM.S.DIST(A633,TRUE())</f>
        <v>0.99916956585017</v>
      </c>
      <c r="D633" s="71" t="n">
        <f aca="false">B633-A633*(1-C633)</f>
        <v>0.000226865503287831</v>
      </c>
    </row>
    <row r="634" customFormat="false" ht="15" hidden="false" customHeight="true" outlineLevel="0" collapsed="false">
      <c r="A634" s="70" t="n">
        <v>3.15</v>
      </c>
      <c r="B634" s="71" t="n">
        <f aca="false">_xlfn.NORM.S.DIST(A634,FALSE())</f>
        <v>0.00279425841487945</v>
      </c>
      <c r="C634" s="71" t="n">
        <f aca="false">_xlfn.NORM.S.DIST(A634,TRUE())</f>
        <v>0.999183647687171</v>
      </c>
      <c r="D634" s="71" t="n">
        <f aca="false">B634-A634*(1-C634)</f>
        <v>0.000222748629469305</v>
      </c>
    </row>
    <row r="635" customFormat="false" ht="15" hidden="false" customHeight="true" outlineLevel="0" collapsed="false">
      <c r="A635" s="70" t="n">
        <v>3.155</v>
      </c>
      <c r="B635" s="71" t="n">
        <f aca="false">_xlfn.NORM.S.DIST(A635,FALSE())</f>
        <v>0.0027505592256251</v>
      </c>
      <c r="C635" s="71" t="n">
        <f aca="false">_xlfn.NORM.S.DIST(A635,TRUE())</f>
        <v>0.999197509473149</v>
      </c>
      <c r="D635" s="71" t="n">
        <f aca="false">B635-A635*(1-C635)</f>
        <v>0.000218701613409859</v>
      </c>
    </row>
    <row r="636" customFormat="false" ht="15" hidden="false" customHeight="true" outlineLevel="0" collapsed="false">
      <c r="A636" s="70" t="n">
        <v>3.16</v>
      </c>
      <c r="B636" s="71" t="n">
        <f aca="false">_xlfn.NORM.S.DIST(A636,FALSE())</f>
        <v>0.0027074757568407</v>
      </c>
      <c r="C636" s="71" t="n">
        <f aca="false">_xlfn.NORM.S.DIST(A636,TRUE())</f>
        <v>0.999211154305625</v>
      </c>
      <c r="D636" s="71" t="n">
        <f aca="false">B636-A636*(1-C636)</f>
        <v>0.000214723362613995</v>
      </c>
    </row>
    <row r="637" customFormat="false" ht="15" hidden="false" customHeight="true" outlineLevel="0" collapsed="false">
      <c r="A637" s="70" t="n">
        <v>3.165</v>
      </c>
      <c r="B637" s="71" t="n">
        <f aca="false">_xlfn.NORM.S.DIST(A637,FALSE())</f>
        <v>0.00266500050144553</v>
      </c>
      <c r="C637" s="71" t="n">
        <f aca="false">_xlfn.NORM.S.DIST(A637,TRUE())</f>
        <v>0.999224585244402</v>
      </c>
      <c r="D637" s="71" t="n">
        <f aca="false">B637-A637*(1-C637)</f>
        <v>0.000210812799978732</v>
      </c>
    </row>
    <row r="638" customFormat="false" ht="15" hidden="false" customHeight="true" outlineLevel="0" collapsed="false">
      <c r="A638" s="70" t="n">
        <v>3.17</v>
      </c>
      <c r="B638" s="71" t="n">
        <f aca="false">_xlfn.NORM.S.DIST(A638,FALSE())</f>
        <v>0.00262312602478102</v>
      </c>
      <c r="C638" s="71" t="n">
        <f aca="false">_xlfn.NORM.S.DIST(A638,TRUE())</f>
        <v>0.999237805311933</v>
      </c>
      <c r="D638" s="71" t="n">
        <f aca="false">B638-A638*(1-C638)</f>
        <v>0.000206968863607799</v>
      </c>
    </row>
    <row r="639" customFormat="false" ht="15" hidden="false" customHeight="true" outlineLevel="0" collapsed="false">
      <c r="A639" s="70" t="n">
        <v>3.175</v>
      </c>
      <c r="B639" s="71" t="n">
        <f aca="false">_xlfn.NORM.S.DIST(A639,FALSE())</f>
        <v>0.00258184496421222</v>
      </c>
      <c r="C639" s="71" t="n">
        <f aca="false">_xlfn.NORM.S.DIST(A639,TRUE())</f>
        <v>0.999250817493673</v>
      </c>
      <c r="D639" s="71" t="n">
        <f aca="false">B639-A639*(1-C639)</f>
        <v>0.000203190506623832</v>
      </c>
    </row>
    <row r="640" customFormat="false" ht="15" hidden="false" customHeight="true" outlineLevel="0" collapsed="false">
      <c r="A640" s="70" t="n">
        <v>3.18</v>
      </c>
      <c r="B640" s="71" t="n">
        <f aca="false">_xlfn.NORM.S.DIST(A640,FALSE())</f>
        <v>0.00254115002872652</v>
      </c>
      <c r="C640" s="71" t="n">
        <f aca="false">_xlfn.NORM.S.DIST(A640,TRUE())</f>
        <v>0.999263624738446</v>
      </c>
      <c r="D640" s="71" t="n">
        <f aca="false">B640-A640*(1-C640)</f>
        <v>0.000199476696985116</v>
      </c>
    </row>
    <row r="641" customFormat="false" ht="15" hidden="false" customHeight="true" outlineLevel="0" collapsed="false">
      <c r="A641" s="70" t="n">
        <v>3.185</v>
      </c>
      <c r="B641" s="71" t="n">
        <f aca="false">_xlfn.NORM.S.DIST(A641,FALSE())</f>
        <v>0.00250103399852992</v>
      </c>
      <c r="C641" s="71" t="n">
        <f aca="false">_xlfn.NORM.S.DIST(A641,TRUE())</f>
        <v>0.999276229958798</v>
      </c>
      <c r="D641" s="71" t="n">
        <f aca="false">B641-A641*(1-C641)</f>
        <v>0.000195826417302795</v>
      </c>
    </row>
    <row r="642" customFormat="false" ht="15" hidden="false" customHeight="true" outlineLevel="0" collapsed="false">
      <c r="A642" s="70" t="n">
        <v>3.19</v>
      </c>
      <c r="B642" s="71" t="n">
        <f aca="false">_xlfn.NORM.S.DIST(A642,FALSE())</f>
        <v>0.0024614897246407</v>
      </c>
      <c r="C642" s="71" t="n">
        <f aca="false">_xlfn.NORM.S.DIST(A642,TRUE())</f>
        <v>0.999288636031355</v>
      </c>
      <c r="D642" s="71" t="n">
        <f aca="false">B642-A642*(1-C642)</f>
        <v>0.000192238664662031</v>
      </c>
    </row>
    <row r="643" customFormat="false" ht="15" hidden="false" customHeight="true" outlineLevel="0" collapsed="false">
      <c r="A643" s="70" t="n">
        <v>3.195</v>
      </c>
      <c r="B643" s="71" t="n">
        <f aca="false">_xlfn.NORM.S.DIST(A643,FALSE())</f>
        <v>0.00242251012848079</v>
      </c>
      <c r="C643" s="71" t="n">
        <f aca="false">_xlfn.NORM.S.DIST(A643,TRUE())</f>
        <v>0.999300845797171</v>
      </c>
      <c r="D643" s="71" t="n">
        <f aca="false">B643-A643*(1-C643)</f>
        <v>0.000188712450440501</v>
      </c>
    </row>
    <row r="644" customFormat="false" ht="15" hidden="false" customHeight="true" outlineLevel="0" collapsed="false">
      <c r="A644" s="70" t="n">
        <v>3.2</v>
      </c>
      <c r="B644" s="71" t="n">
        <f aca="false">_xlfn.NORM.S.DIST(A644,FALSE())</f>
        <v>0.00238408820146484</v>
      </c>
      <c r="C644" s="71" t="n">
        <f aca="false">_xlfn.NORM.S.DIST(A644,TRUE())</f>
        <v>0.999312862062084</v>
      </c>
      <c r="D644" s="71" t="n">
        <f aca="false">B644-A644*(1-C644)</f>
        <v>0.000185246800134087</v>
      </c>
    </row>
    <row r="645" customFormat="false" ht="15" hidden="false" customHeight="true" outlineLevel="0" collapsed="false">
      <c r="A645" s="70" t="n">
        <v>3.205</v>
      </c>
      <c r="B645" s="71" t="n">
        <f aca="false">_xlfn.NORM.S.DIST(A645,FALSE())</f>
        <v>0.00234621700458716</v>
      </c>
      <c r="C645" s="71" t="n">
        <f aca="false">_xlfn.NORM.S.DIST(A645,TRUE())</f>
        <v>0.999324687597065</v>
      </c>
      <c r="D645" s="71" t="n">
        <f aca="false">B645-A645*(1-C645)</f>
        <v>0.000181840753179947</v>
      </c>
    </row>
    <row r="646" customFormat="false" ht="15" hidden="false" customHeight="true" outlineLevel="0" collapsed="false">
      <c r="A646" s="70" t="n">
        <v>3.21</v>
      </c>
      <c r="B646" s="71" t="n">
        <f aca="false">_xlfn.NORM.S.DIST(A646,FALSE())</f>
        <v>0.0023088896680065</v>
      </c>
      <c r="C646" s="71" t="n">
        <f aca="false">_xlfn.NORM.S.DIST(A646,TRUE())</f>
        <v>0.99933632513856</v>
      </c>
      <c r="D646" s="71" t="n">
        <f aca="false">B646-A646*(1-C646)</f>
        <v>0.000178493362784345</v>
      </c>
    </row>
    <row r="647" customFormat="false" ht="15" hidden="false" customHeight="true" outlineLevel="0" collapsed="false">
      <c r="A647" s="70" t="n">
        <v>3.215</v>
      </c>
      <c r="B647" s="71" t="n">
        <f aca="false">_xlfn.NORM.S.DIST(A647,FALSE())</f>
        <v>0.00227209939062887</v>
      </c>
      <c r="C647" s="71" t="n">
        <f aca="false">_xlfn.NORM.S.DIST(A647,TRUE())</f>
        <v>0.99934777738884</v>
      </c>
      <c r="D647" s="71" t="n">
        <f aca="false">B647-A647*(1-C647)</f>
        <v>0.000175203695748962</v>
      </c>
    </row>
    <row r="648" customFormat="false" ht="15" hidden="false" customHeight="true" outlineLevel="0" collapsed="false">
      <c r="A648" s="70" t="n">
        <v>3.22</v>
      </c>
      <c r="B648" s="71" t="n">
        <f aca="false">_xlfn.NORM.S.DIST(A648,FALSE())</f>
        <v>0.00223583943968854</v>
      </c>
      <c r="C648" s="71" t="n">
        <f aca="false">_xlfn.NORM.S.DIST(A648,TRUE())</f>
        <v>0.99935904701634</v>
      </c>
      <c r="D648" s="71" t="n">
        <f aca="false">B648-A648*(1-C648)</f>
        <v>0.000171970832303112</v>
      </c>
    </row>
    <row r="649" customFormat="false" ht="15" hidden="false" customHeight="true" outlineLevel="0" collapsed="false">
      <c r="A649" s="70" t="n">
        <v>3.225</v>
      </c>
      <c r="B649" s="71" t="n">
        <f aca="false">_xlfn.NORM.S.DIST(A649,FALSE())</f>
        <v>0.00220010315032713</v>
      </c>
      <c r="C649" s="71" t="n">
        <f aca="false">_xlfn.NORM.S.DIST(A649,TRUE())</f>
        <v>0.999370136656002</v>
      </c>
      <c r="D649" s="71" t="n">
        <f aca="false">B649-A649*(1-C649)</f>
        <v>0.00016879386593446</v>
      </c>
    </row>
    <row r="650" customFormat="false" ht="15" hidden="false" customHeight="true" outlineLevel="0" collapsed="false">
      <c r="A650" s="70" t="n">
        <v>3.23</v>
      </c>
      <c r="B650" s="71" t="n">
        <f aca="false">_xlfn.NORM.S.DIST(A650,FALSE())</f>
        <v>0.00216488392517106</v>
      </c>
      <c r="C650" s="71" t="n">
        <f aca="false">_xlfn.NORM.S.DIST(A650,TRUE())</f>
        <v>0.999381048909613</v>
      </c>
      <c r="D650" s="71" t="n">
        <f aca="false">B650-A650*(1-C650)</f>
        <v>0.000165671903221737</v>
      </c>
    </row>
    <row r="651" customFormat="false" ht="15" hidden="false" customHeight="true" outlineLevel="0" collapsed="false">
      <c r="A651" s="70" t="n">
        <v>3.235</v>
      </c>
      <c r="B651" s="71" t="n">
        <f aca="false">_xlfn.NORM.S.DIST(A651,FALSE())</f>
        <v>0.00213017523390736</v>
      </c>
      <c r="C651" s="71" t="n">
        <f aca="false">_xlfn.NORM.S.DIST(A651,TRUE())</f>
        <v>0.99939178634614</v>
      </c>
      <c r="D651" s="71" t="n">
        <f aca="false">B651-A651*(1-C651)</f>
        <v>0.000162604063670653</v>
      </c>
    </row>
    <row r="652" customFormat="false" ht="15" hidden="false" customHeight="true" outlineLevel="0" collapsed="false">
      <c r="A652" s="70" t="n">
        <v>3.24</v>
      </c>
      <c r="B652" s="71" t="n">
        <f aca="false">_xlfn.NORM.S.DIST(A652,FALSE())</f>
        <v>0.00209597061285794</v>
      </c>
      <c r="C652" s="71" t="n">
        <f aca="false">_xlfn.NORM.S.DIST(A652,TRUE())</f>
        <v>0.999402351502066</v>
      </c>
      <c r="D652" s="71" t="n">
        <f aca="false">B652-A652*(1-C652)</f>
        <v>0.000159589479550414</v>
      </c>
    </row>
    <row r="653" customFormat="false" ht="15" hidden="false" customHeight="true" outlineLevel="0" collapsed="false">
      <c r="A653" s="70" t="n">
        <v>3.245</v>
      </c>
      <c r="B653" s="71" t="n">
        <f aca="false">_xlfn.NORM.S.DIST(A653,FALSE())</f>
        <v>0.00206226366455246</v>
      </c>
      <c r="C653" s="71" t="n">
        <f aca="false">_xlfn.NORM.S.DIST(A653,TRUE())</f>
        <v>0.99941274688172</v>
      </c>
      <c r="D653" s="71" t="n">
        <f aca="false">B653-A653*(1-C653)</f>
        <v>0.000156627295732397</v>
      </c>
    </row>
    <row r="654" customFormat="false" ht="15" hidden="false" customHeight="true" outlineLevel="0" collapsed="false">
      <c r="A654" s="70" t="n">
        <v>3.25</v>
      </c>
      <c r="B654" s="71" t="n">
        <f aca="false">_xlfn.NORM.S.DIST(A654,FALSE())</f>
        <v>0.00202904805729977</v>
      </c>
      <c r="C654" s="71" t="n">
        <f aca="false">_xlfn.NORM.S.DIST(A654,TRUE())</f>
        <v>0.999422974957609</v>
      </c>
      <c r="D654" s="71" t="n">
        <f aca="false">B654-A654*(1-C654)</f>
        <v>0.000153716669529777</v>
      </c>
    </row>
    <row r="655" customFormat="false" ht="15" hidden="false" customHeight="true" outlineLevel="0" collapsed="false">
      <c r="A655" s="70" t="n">
        <v>3.255</v>
      </c>
      <c r="B655" s="71" t="n">
        <f aca="false">_xlfn.NORM.S.DIST(A655,FALSE())</f>
        <v>0.00199631752475816</v>
      </c>
      <c r="C655" s="71" t="n">
        <f aca="false">_xlfn.NORM.S.DIST(A655,TRUE())</f>
        <v>0.999433038170747</v>
      </c>
      <c r="D655" s="71" t="n">
        <f aca="false">B655-A655*(1-C655)</f>
        <v>0.000150856770538997</v>
      </c>
    </row>
    <row r="656" customFormat="false" ht="15" hidden="false" customHeight="true" outlineLevel="0" collapsed="false">
      <c r="A656" s="70" t="n">
        <v>3.26</v>
      </c>
      <c r="B656" s="71" t="n">
        <f aca="false">_xlfn.NORM.S.DIST(A656,FALSE())</f>
        <v>0.00196406586550438</v>
      </c>
      <c r="C656" s="71" t="n">
        <f aca="false">_xlfn.NORM.S.DIST(A656,TRUE())</f>
        <v>0.999442938930975</v>
      </c>
      <c r="D656" s="71" t="n">
        <f aca="false">B656-A656*(1-C656)</f>
        <v>0.000148046780484035</v>
      </c>
    </row>
    <row r="657" customFormat="false" ht="15" hidden="false" customHeight="true" outlineLevel="0" collapsed="false">
      <c r="A657" s="70" t="n">
        <v>3.265</v>
      </c>
      <c r="B657" s="71" t="n">
        <f aca="false">_xlfn.NORM.S.DIST(A657,FALSE())</f>
        <v>0.00193228694260154</v>
      </c>
      <c r="C657" s="71" t="n">
        <f aca="false">_xlfn.NORM.S.DIST(A657,TRUE())</f>
        <v>0.999452679617292</v>
      </c>
      <c r="D657" s="71" t="n">
        <f aca="false">B657-A657*(1-C657)</f>
        <v>0.000145285893060668</v>
      </c>
    </row>
    <row r="658" customFormat="false" ht="15" hidden="false" customHeight="true" outlineLevel="0" collapsed="false">
      <c r="A658" s="70" t="n">
        <v>3.27</v>
      </c>
      <c r="B658" s="71" t="n">
        <f aca="false">_xlfn.NORM.S.DIST(A658,FALSE())</f>
        <v>0.00190097468316608</v>
      </c>
      <c r="C658" s="71" t="n">
        <f aca="false">_xlfn.NORM.S.DIST(A658,TRUE())</f>
        <v>0.99946226257817</v>
      </c>
      <c r="D658" s="71" t="n">
        <f aca="false">B658-A658*(1-C658)</f>
        <v>0.000142573313782895</v>
      </c>
    </row>
    <row r="659" customFormat="false" ht="15" hidden="false" customHeight="true" outlineLevel="0" collapsed="false">
      <c r="A659" s="70" t="n">
        <v>3.275</v>
      </c>
      <c r="B659" s="71" t="n">
        <f aca="false">_xlfn.NORM.S.DIST(A659,FALSE())</f>
        <v>0.00187012307793365</v>
      </c>
      <c r="C659" s="71" t="n">
        <f aca="false">_xlfn.NORM.S.DIST(A659,TRUE())</f>
        <v>0.999471690131877</v>
      </c>
      <c r="D659" s="71" t="n">
        <f aca="false">B659-A659*(1-C659)</f>
        <v>0.000139908259832206</v>
      </c>
    </row>
    <row r="660" customFormat="false" ht="15" hidden="false" customHeight="true" outlineLevel="0" collapsed="false">
      <c r="A660" s="70" t="n">
        <v>3.28</v>
      </c>
      <c r="B660" s="71" t="n">
        <f aca="false">_xlfn.NORM.S.DIST(A660,FALSE())</f>
        <v>0.00183972618082428</v>
      </c>
      <c r="C660" s="71" t="n">
        <f aca="false">_xlfn.NORM.S.DIST(A660,TRUE())</f>
        <v>0.999480964566793</v>
      </c>
      <c r="D660" s="71" t="n">
        <f aca="false">B660-A660*(1-C660)</f>
        <v>0.000137289959905415</v>
      </c>
    </row>
    <row r="661" customFormat="false" ht="15" hidden="false" customHeight="true" outlineLevel="0" collapsed="false">
      <c r="A661" s="70" t="n">
        <v>3.285</v>
      </c>
      <c r="B661" s="71" t="n">
        <f aca="false">_xlfn.NORM.S.DIST(A661,FALSE())</f>
        <v>0.00180977810850668</v>
      </c>
      <c r="C661" s="71" t="n">
        <f aca="false">_xlfn.NORM.S.DIST(A661,TRUE())</f>
        <v>0.999490088141724</v>
      </c>
      <c r="D661" s="71" t="n">
        <f aca="false">B661-A661*(1-C661)</f>
        <v>0.000134717654068264</v>
      </c>
    </row>
    <row r="662" customFormat="false" ht="15" hidden="false" customHeight="true" outlineLevel="0" collapsed="false">
      <c r="A662" s="70" t="n">
        <v>3.29</v>
      </c>
      <c r="B662" s="71" t="n">
        <f aca="false">_xlfn.NORM.S.DIST(A662,FALSE())</f>
        <v>0.00178027303996188</v>
      </c>
      <c r="C662" s="71" t="n">
        <f aca="false">_xlfn.NORM.S.DIST(A662,TRUE())</f>
        <v>0.999499063086214</v>
      </c>
      <c r="D662" s="71" t="n">
        <f aca="false">B662-A662*(1-C662)</f>
        <v>0.000132190593606856</v>
      </c>
    </row>
    <row r="663" customFormat="false" ht="15" hidden="false" customHeight="true" outlineLevel="0" collapsed="false">
      <c r="A663" s="70" t="n">
        <v>3.295</v>
      </c>
      <c r="B663" s="71" t="n">
        <f aca="false">_xlfn.NORM.S.DIST(A663,FALSE())</f>
        <v>0.00175120521604619</v>
      </c>
      <c r="C663" s="71" t="n">
        <f aca="false">_xlfn.NORM.S.DIST(A663,TRUE())</f>
        <v>0.999507891600861</v>
      </c>
      <c r="D663" s="71" t="n">
        <f aca="false">B663-A663*(1-C663)</f>
        <v>0.0001297080408823</v>
      </c>
    </row>
    <row r="664" customFormat="false" ht="15" hidden="false" customHeight="true" outlineLevel="0" collapsed="false">
      <c r="A664" s="70" t="n">
        <v>3.3</v>
      </c>
      <c r="B664" s="71" t="n">
        <f aca="false">_xlfn.NORM.S.DIST(A664,FALSE())</f>
        <v>0.00172256893905368</v>
      </c>
      <c r="C664" s="71" t="n">
        <f aca="false">_xlfn.NORM.S.DIST(A664,TRUE())</f>
        <v>0.999516575857616</v>
      </c>
      <c r="D664" s="71" t="n">
        <f aca="false">B664-A664*(1-C664)</f>
        <v>0.000127269269187202</v>
      </c>
    </row>
    <row r="665" customFormat="false" ht="15" hidden="false" customHeight="true" outlineLevel="0" collapsed="false">
      <c r="A665" s="70" t="n">
        <v>3.305</v>
      </c>
      <c r="B665" s="71" t="n">
        <f aca="false">_xlfn.NORM.S.DIST(A665,FALSE())</f>
        <v>0.00169435857227813</v>
      </c>
      <c r="C665" s="71" t="n">
        <f aca="false">_xlfn.NORM.S.DIST(A665,TRUE())</f>
        <v>0.999525118000098</v>
      </c>
      <c r="D665" s="71" t="n">
        <f aca="false">B665-A665*(1-C665)</f>
        <v>0.000124873562602828</v>
      </c>
    </row>
    <row r="666" customFormat="false" ht="15" hidden="false" customHeight="true" outlineLevel="0" collapsed="false">
      <c r="A666" s="70" t="n">
        <v>3.31</v>
      </c>
      <c r="B666" s="71" t="n">
        <f aca="false">_xlfn.NORM.S.DIST(A666,FALSE())</f>
        <v>0.00166656853957458</v>
      </c>
      <c r="C666" s="71" t="n">
        <f aca="false">_xlfn.NORM.S.DIST(A666,TRUE())</f>
        <v>0.999533520143892</v>
      </c>
      <c r="D666" s="71" t="n">
        <f aca="false">B666-A666*(1-C666)</f>
        <v>0.000122520215858446</v>
      </c>
    </row>
    <row r="667" customFormat="false" ht="15" hidden="false" customHeight="true" outlineLevel="0" collapsed="false">
      <c r="A667" s="70" t="n">
        <v>3.315</v>
      </c>
      <c r="B667" s="71" t="n">
        <f aca="false">_xlfn.NORM.S.DIST(A667,FALSE())</f>
        <v>0.00163919332492058</v>
      </c>
      <c r="C667" s="71" t="n">
        <f aca="false">_xlfn.NORM.S.DIST(A667,TRUE())</f>
        <v>0.999541784376854</v>
      </c>
      <c r="D667" s="71" t="n">
        <f aca="false">B667-A667*(1-C667)</f>
        <v>0.000120208534192078</v>
      </c>
    </row>
    <row r="668" customFormat="false" ht="15" hidden="false" customHeight="true" outlineLevel="0" collapsed="false">
      <c r="A668" s="70" t="n">
        <v>3.32</v>
      </c>
      <c r="B668" s="71" t="n">
        <f aca="false">_xlfn.NORM.S.DIST(A668,FALSE())</f>
        <v>0.00161222747197712</v>
      </c>
      <c r="C668" s="71" t="n">
        <f aca="false">_xlfn.NORM.S.DIST(A668,TRUE())</f>
        <v>0.999549912759408</v>
      </c>
      <c r="D668" s="71" t="n">
        <f aca="false">B668-A668*(1-C668)</f>
        <v>0.000117937833211202</v>
      </c>
    </row>
    <row r="669" customFormat="false" ht="15" hidden="false" customHeight="true" outlineLevel="0" collapsed="false">
      <c r="A669" s="70" t="n">
        <v>3.325</v>
      </c>
      <c r="B669" s="71" t="n">
        <f aca="false">_xlfn.NORM.S.DIST(A669,FALSE())</f>
        <v>0.00158566558364946</v>
      </c>
      <c r="C669" s="71" t="n">
        <f aca="false">_xlfn.NORM.S.DIST(A669,TRUE())</f>
        <v>0.999557907324845</v>
      </c>
      <c r="D669" s="71" t="n">
        <f aca="false">B669-A669*(1-C669)</f>
        <v>0.000115707438758921</v>
      </c>
    </row>
    <row r="670" customFormat="false" ht="15" hidden="false" customHeight="true" outlineLevel="0" collapsed="false">
      <c r="A670" s="70" t="n">
        <v>3.33</v>
      </c>
      <c r="B670" s="71" t="n">
        <f aca="false">_xlfn.NORM.S.DIST(A670,FALSE())</f>
        <v>0.00155950232164769</v>
      </c>
      <c r="C670" s="71" t="n">
        <f aca="false">_xlfn.NORM.S.DIST(A670,TRUE())</f>
        <v>0.999565770079618</v>
      </c>
      <c r="D670" s="71" t="n">
        <f aca="false">B670-A670*(1-C670)</f>
        <v>0.000113516686776737</v>
      </c>
    </row>
    <row r="671" customFormat="false" ht="15" hidden="false" customHeight="true" outlineLevel="0" collapsed="false">
      <c r="A671" s="70" t="n">
        <v>3.335</v>
      </c>
      <c r="B671" s="71" t="n">
        <f aca="false">_xlfn.NORM.S.DIST(A671,FALSE())</f>
        <v>0.00153373240604742</v>
      </c>
      <c r="C671" s="71" t="n">
        <f aca="false">_xlfn.NORM.S.DIST(A671,TRUE())</f>
        <v>0.999573503003636</v>
      </c>
      <c r="D671" s="71" t="n">
        <f aca="false">B671-A671*(1-C671)</f>
        <v>0.000111364923172035</v>
      </c>
    </row>
    <row r="672" customFormat="false" ht="15" hidden="false" customHeight="true" outlineLevel="0" collapsed="false">
      <c r="A672" s="70" t="n">
        <v>3.34</v>
      </c>
      <c r="B672" s="71" t="n">
        <f aca="false">_xlfn.NORM.S.DIST(A672,FALSE())</f>
        <v>0.00150835061485031</v>
      </c>
      <c r="C672" s="71" t="n">
        <f aca="false">_xlfn.NORM.S.DIST(A672,TRUE())</f>
        <v>0.99958110805055</v>
      </c>
      <c r="D672" s="71" t="n">
        <f aca="false">B672-A672*(1-C672)</f>
        <v>0.00010925150368621</v>
      </c>
    </row>
    <row r="673" customFormat="false" ht="15" hidden="false" customHeight="true" outlineLevel="0" collapsed="false">
      <c r="A673" s="70" t="n">
        <v>3.345</v>
      </c>
      <c r="B673" s="71" t="n">
        <f aca="false">_xlfn.NORM.S.DIST(A673,FALSE())</f>
        <v>0.00148335178354476</v>
      </c>
      <c r="C673" s="71" t="n">
        <f aca="false">_xlfn.NORM.S.DIST(A673,TRUE())</f>
        <v>0.999588587148047</v>
      </c>
      <c r="D673" s="71" t="n">
        <f aca="false">B673-A673*(1-C673)</f>
        <v>0.000107175793763431</v>
      </c>
    </row>
    <row r="674" customFormat="false" ht="15" hidden="false" customHeight="true" outlineLevel="0" collapsed="false">
      <c r="A674" s="70" t="n">
        <v>3.35</v>
      </c>
      <c r="B674" s="71" t="n">
        <f aca="false">_xlfn.NORM.S.DIST(A674,FALSE())</f>
        <v>0.00145873080466675</v>
      </c>
      <c r="C674" s="71" t="n">
        <f aca="false">_xlfn.NORM.S.DIST(A674,TRUE())</f>
        <v>0.999595942198136</v>
      </c>
      <c r="D674" s="71" t="n">
        <f aca="false">B674-A674*(1-C674)</f>
        <v>0.000105137168422236</v>
      </c>
    </row>
    <row r="675" customFormat="false" ht="15" hidden="false" customHeight="true" outlineLevel="0" collapsed="false">
      <c r="A675" s="70" t="n">
        <v>3.355</v>
      </c>
      <c r="B675" s="71" t="n">
        <f aca="false">_xlfn.NORM.S.DIST(A675,FALSE())</f>
        <v>0.00143448262736082</v>
      </c>
      <c r="C675" s="71" t="n">
        <f aca="false">_xlfn.NORM.S.DIST(A675,TRUE())</f>
        <v>0.999603175077427</v>
      </c>
      <c r="D675" s="71" t="n">
        <f aca="false">B675-A675*(1-C675)</f>
        <v>0.000103135012128099</v>
      </c>
    </row>
    <row r="676" customFormat="false" ht="15" hidden="false" customHeight="true" outlineLevel="0" collapsed="false">
      <c r="A676" s="70" t="n">
        <v>3.36</v>
      </c>
      <c r="B676" s="71" t="n">
        <f aca="false">_xlfn.NORM.S.DIST(A676,FALSE())</f>
        <v>0.00141060225694139</v>
      </c>
      <c r="C676" s="71" t="n">
        <f aca="false">_xlfn.NORM.S.DIST(A676,TRUE())</f>
        <v>0.999610287637418</v>
      </c>
      <c r="D676" s="71" t="n">
        <f aca="false">B676-A676*(1-C676)</f>
        <v>0.000101168718665843</v>
      </c>
    </row>
    <row r="677" customFormat="false" ht="15" hidden="false" customHeight="true" outlineLevel="0" collapsed="false">
      <c r="A677" s="70" t="n">
        <v>3.365</v>
      </c>
      <c r="B677" s="71" t="n">
        <f aca="false">_xlfn.NORM.S.DIST(A677,FALSE())</f>
        <v>0.00138708475445431</v>
      </c>
      <c r="C677" s="71" t="n">
        <f aca="false">_xlfn.NORM.S.DIST(A677,TRUE())</f>
        <v>0.999617281704773</v>
      </c>
      <c r="D677" s="71" t="n">
        <f aca="false">B677-A677*(1-C677)</f>
        <v>9.92376910159654E-005</v>
      </c>
    </row>
    <row r="678" customFormat="false" ht="15" hidden="false" customHeight="true" outlineLevel="0" collapsed="false">
      <c r="A678" s="70" t="n">
        <v>3.37</v>
      </c>
      <c r="B678" s="71" t="n">
        <f aca="false">_xlfn.NORM.S.DIST(A678,FALSE())</f>
        <v>0.0013639252362389</v>
      </c>
      <c r="C678" s="71" t="n">
        <f aca="false">_xlfn.NORM.S.DIST(A678,TRUE())</f>
        <v>0.9996241590816</v>
      </c>
      <c r="D678" s="71" t="n">
        <f aca="false">B678-A678*(1-C678)</f>
        <v>9.73413412307727E-005</v>
      </c>
    </row>
    <row r="679" customFormat="false" ht="15" hidden="false" customHeight="true" outlineLevel="0" collapsed="false">
      <c r="A679" s="70" t="n">
        <v>3.375</v>
      </c>
      <c r="B679" s="71" t="n">
        <f aca="false">_xlfn.NORM.S.DIST(A679,FALSE())</f>
        <v>0.00134111887349038</v>
      </c>
      <c r="C679" s="71" t="n">
        <f aca="false">_xlfn.NORM.S.DIST(A679,TRUE())</f>
        <v>0.999630921545725</v>
      </c>
      <c r="D679" s="71" t="n">
        <f aca="false">B679-A679*(1-C679)</f>
        <v>9.54790903121543E-005</v>
      </c>
    </row>
    <row r="680" customFormat="false" ht="15" hidden="false" customHeight="true" outlineLevel="0" collapsed="false">
      <c r="A680" s="70" t="n">
        <v>3.38</v>
      </c>
      <c r="B680" s="71" t="n">
        <f aca="false">_xlfn.NORM.S.DIST(A680,FALSE())</f>
        <v>0.00131866089182274</v>
      </c>
      <c r="C680" s="71" t="n">
        <f aca="false">_xlfn.NORM.S.DIST(A680,TRUE())</f>
        <v>0.999637570850967</v>
      </c>
      <c r="D680" s="71" t="n">
        <f aca="false">B680-A680*(1-C680)</f>
        <v>9.36503680909959E-005</v>
      </c>
    </row>
    <row r="681" customFormat="false" ht="15" hidden="false" customHeight="true" outlineLevel="0" collapsed="false">
      <c r="A681" s="70" t="n">
        <v>3.385</v>
      </c>
      <c r="B681" s="71" t="n">
        <f aca="false">_xlfn.NORM.S.DIST(A681,FALSE())</f>
        <v>0.00129654657083232</v>
      </c>
      <c r="C681" s="71" t="n">
        <f aca="false">_xlfn.NORM.S.DIST(A681,TRUE())</f>
        <v>0.999644108727408</v>
      </c>
      <c r="D681" s="71" t="n">
        <f aca="false">B681-A681*(1-C681)</f>
        <v>9.18546131082037E-005</v>
      </c>
    </row>
    <row r="682" customFormat="false" ht="15" hidden="false" customHeight="true" outlineLevel="0" collapsed="false">
      <c r="A682" s="70" t="n">
        <v>3.39</v>
      </c>
      <c r="B682" s="71" t="n">
        <f aca="false">_xlfn.NORM.S.DIST(A682,FALSE())</f>
        <v>0.00127477124366183</v>
      </c>
      <c r="C682" s="71" t="n">
        <f aca="false">_xlfn.NORM.S.DIST(A682,TRUE())</f>
        <v>0.999650536881662</v>
      </c>
      <c r="D682" s="71" t="n">
        <f aca="false">B682-A682*(1-C682)</f>
        <v>9.00912724961999E-005</v>
      </c>
    </row>
    <row r="683" customFormat="false" ht="15" hidden="false" customHeight="true" outlineLevel="0" collapsed="false">
      <c r="A683" s="70" t="n">
        <v>3.395</v>
      </c>
      <c r="B683" s="71" t="n">
        <f aca="false">_xlfn.NORM.S.DIST(A683,FALSE())</f>
        <v>0.0012533302965652</v>
      </c>
      <c r="C683" s="71" t="n">
        <f aca="false">_xlfn.NORM.S.DIST(A683,TRUE())</f>
        <v>0.999656856997142</v>
      </c>
      <c r="D683" s="71" t="n">
        <f aca="false">B683-A683*(1-C683)</f>
        <v>8.83598018616028E-005</v>
      </c>
    </row>
    <row r="684" customFormat="false" ht="15" hidden="false" customHeight="true" outlineLevel="0" collapsed="false">
      <c r="A684" s="70" t="n">
        <v>3.4</v>
      </c>
      <c r="B684" s="71" t="n">
        <f aca="false">_xlfn.NORM.S.DIST(A684,FALSE())</f>
        <v>0.00123221916847302</v>
      </c>
      <c r="C684" s="71" t="n">
        <f aca="false">_xlfn.NORM.S.DIST(A684,TRUE())</f>
        <v>0.999663070734323</v>
      </c>
      <c r="D684" s="71" t="n">
        <f aca="false">B684-A684*(1-C684)</f>
        <v>8.66596651717122E-005</v>
      </c>
    </row>
    <row r="685" customFormat="false" ht="15" hidden="false" customHeight="true" outlineLevel="0" collapsed="false">
      <c r="A685" s="70" t="n">
        <v>3.405</v>
      </c>
      <c r="B685" s="71" t="n">
        <f aca="false">_xlfn.NORM.S.DIST(A685,FALSE())</f>
        <v>0.0012114333505588</v>
      </c>
      <c r="C685" s="71" t="n">
        <f aca="false">_xlfn.NORM.S.DIST(A685,TRUE())</f>
        <v>0.999669179731007</v>
      </c>
      <c r="D685" s="71" t="n">
        <f aca="false">B685-A685*(1-C685)</f>
        <v>8.49903346387595E-005</v>
      </c>
    </row>
    <row r="686" customFormat="false" ht="15" hidden="false" customHeight="true" outlineLevel="0" collapsed="false">
      <c r="A686" s="70" t="n">
        <v>3.41</v>
      </c>
      <c r="B686" s="71" t="n">
        <f aca="false">_xlfn.NORM.S.DIST(A686,FALSE())</f>
        <v>0.00119096838580612</v>
      </c>
      <c r="C686" s="71" t="n">
        <f aca="false">_xlfn.NORM.S.DIST(A686,TRUE())</f>
        <v>0.999675185602581</v>
      </c>
      <c r="D686" s="71" t="n">
        <f aca="false">B686-A686*(1-C686)</f>
        <v>8.33512906079179E-005</v>
      </c>
    </row>
    <row r="687" customFormat="false" ht="15" hidden="false" customHeight="true" outlineLevel="0" collapsed="false">
      <c r="A687" s="70" t="n">
        <v>3.415</v>
      </c>
      <c r="B687" s="71" t="n">
        <f aca="false">_xlfn.NORM.S.DIST(A687,FALSE())</f>
        <v>0.00117081986857653</v>
      </c>
      <c r="C687" s="71" t="n">
        <f aca="false">_xlfn.NORM.S.DIST(A687,TRUE())</f>
        <v>0.999681089942275</v>
      </c>
      <c r="D687" s="71" t="n">
        <f aca="false">B687-A687*(1-C687)</f>
        <v>8.17420214456615E-005</v>
      </c>
    </row>
    <row r="688" customFormat="false" ht="15" hidden="false" customHeight="true" outlineLevel="0" collapsed="false">
      <c r="A688" s="70" t="n">
        <v>3.42</v>
      </c>
      <c r="B688" s="71" t="n">
        <f aca="false">_xlfn.NORM.S.DIST(A688,FALSE())</f>
        <v>0.00115098344417848</v>
      </c>
      <c r="C688" s="71" t="n">
        <f aca="false">_xlfn.NORM.S.DIST(A688,TRUE())</f>
        <v>0.999686894321419</v>
      </c>
      <c r="D688" s="71" t="n">
        <f aca="false">B688-A688*(1-C688)</f>
        <v>8.01620234306883E-005</v>
      </c>
    </row>
    <row r="689" customFormat="false" ht="15" hidden="false" customHeight="true" outlineLevel="0" collapsed="false">
      <c r="A689" s="70" t="n">
        <v>3.425</v>
      </c>
      <c r="B689" s="71" t="n">
        <f aca="false">_xlfn.NORM.S.DIST(A689,FALSE())</f>
        <v>0.00113145480843721</v>
      </c>
      <c r="C689" s="71" t="n">
        <f aca="false">_xlfn.NORM.S.DIST(A689,TRUE())</f>
        <v>0.999692600289695</v>
      </c>
      <c r="D689" s="71" t="n">
        <f aca="false">B689-A689*(1-C689)</f>
        <v>7.86108006432661E-005</v>
      </c>
    </row>
    <row r="690" customFormat="false" ht="15" hidden="false" customHeight="true" outlineLevel="0" collapsed="false">
      <c r="A690" s="70" t="n">
        <v>3.43</v>
      </c>
      <c r="B690" s="71" t="n">
        <f aca="false">_xlfn.NORM.S.DIST(A690,FALSE())</f>
        <v>0.00111222970726556</v>
      </c>
      <c r="C690" s="71" t="n">
        <f aca="false">_xlfn.NORM.S.DIST(A690,TRUE())</f>
        <v>0.999698209375391</v>
      </c>
      <c r="D690" s="71" t="n">
        <f aca="false">B690-A690*(1-C690)</f>
        <v>7.70878648578386E-005</v>
      </c>
    </row>
    <row r="691" customFormat="false" ht="15" hidden="false" customHeight="true" outlineLevel="0" collapsed="false">
      <c r="A691" s="70" t="n">
        <v>3.435</v>
      </c>
      <c r="B691" s="71" t="n">
        <f aca="false">_xlfn.NORM.S.DIST(A691,FALSE())</f>
        <v>0.00109330393623603</v>
      </c>
      <c r="C691" s="71" t="n">
        <f aca="false">_xlfn.NORM.S.DIST(A691,TRUE())</f>
        <v>0.999703723085649</v>
      </c>
      <c r="D691" s="71" t="n">
        <f aca="false">B691-A691*(1-C691)</f>
        <v>7.55927354389255E-005</v>
      </c>
    </row>
    <row r="692" customFormat="false" ht="15" hidden="false" customHeight="true" outlineLevel="0" collapsed="false">
      <c r="A692" s="70" t="n">
        <v>3.44</v>
      </c>
      <c r="B692" s="71" t="n">
        <f aca="false">_xlfn.NORM.S.DIST(A692,FALSE())</f>
        <v>0.00107467334015374</v>
      </c>
      <c r="C692" s="71" t="n">
        <f aca="false">_xlfn.NORM.S.DIST(A692,TRUE())</f>
        <v>0.999709142906709</v>
      </c>
      <c r="D692" s="71" t="n">
        <f aca="false">B692-A692*(1-C692)</f>
        <v>7.41249392333932E-005</v>
      </c>
    </row>
    <row r="693" customFormat="false" ht="15" hidden="false" customHeight="true" outlineLevel="0" collapsed="false">
      <c r="A693" s="70" t="n">
        <v>3.445</v>
      </c>
      <c r="B693" s="71" t="n">
        <f aca="false">_xlfn.NORM.S.DIST(A693,FALSE())</f>
        <v>0.00105633381263074</v>
      </c>
      <c r="C693" s="71" t="n">
        <f aca="false">_xlfn.NORM.S.DIST(A693,TRUE())</f>
        <v>0.999714470304162</v>
      </c>
      <c r="D693" s="71" t="n">
        <f aca="false">B693-A693*(1-C693)</f>
        <v>7.26840104678557E-005</v>
      </c>
    </row>
    <row r="694" customFormat="false" ht="15" hidden="false" customHeight="true" outlineLevel="0" collapsed="false">
      <c r="A694" s="70" t="n">
        <v>3.45</v>
      </c>
      <c r="B694" s="71" t="n">
        <f aca="false">_xlfn.NORM.S.DIST(A694,FALSE())</f>
        <v>0.00103828129566141</v>
      </c>
      <c r="C694" s="71" t="n">
        <f aca="false">_xlfn.NORM.S.DIST(A694,TRUE())</f>
        <v>0.999719706723184</v>
      </c>
      <c r="D694" s="71" t="n">
        <f aca="false">B694-A694*(1-C694)</f>
        <v>7.12694906454388E-005</v>
      </c>
    </row>
    <row r="695" customFormat="false" ht="15" hidden="false" customHeight="true" outlineLevel="0" collapsed="false">
      <c r="A695" s="70" t="n">
        <v>3.455</v>
      </c>
      <c r="B695" s="71" t="n">
        <f aca="false">_xlfn.NORM.S.DIST(A695,FALSE())</f>
        <v>0.00102051177919913</v>
      </c>
      <c r="C695" s="71" t="n">
        <f aca="false">_xlfn.NORM.S.DIST(A695,TRUE())</f>
        <v>0.999724853588783</v>
      </c>
      <c r="D695" s="71" t="n">
        <f aca="false">B695-A695*(1-C695)</f>
        <v>6.9880928445325E-005</v>
      </c>
    </row>
    <row r="696" customFormat="false" ht="15" hidden="false" customHeight="true" outlineLevel="0" collapsed="false">
      <c r="A696" s="70" t="n">
        <v>3.46</v>
      </c>
      <c r="B696" s="71" t="n">
        <f aca="false">_xlfn.NORM.S.DIST(A696,FALSE())</f>
        <v>0.00100302130073424</v>
      </c>
      <c r="C696" s="71" t="n">
        <f aca="false">_xlfn.NORM.S.DIST(A696,TRUE())</f>
        <v>0.999729912306037</v>
      </c>
      <c r="D696" s="71" t="n">
        <f aca="false">B696-A696*(1-C696)</f>
        <v>6.85178796204318E-005</v>
      </c>
    </row>
    <row r="697" customFormat="false" ht="15" hidden="false" customHeight="true" outlineLevel="0" collapsed="false">
      <c r="A697" s="70" t="n">
        <v>3.465</v>
      </c>
      <c r="B697" s="71" t="n">
        <f aca="false">_xlfn.NORM.S.DIST(A697,FALSE())</f>
        <v>0.000985805944873316</v>
      </c>
      <c r="C697" s="71" t="n">
        <f aca="false">_xlfn.NORM.S.DIST(A697,TRUE())</f>
        <v>0.999734884260326</v>
      </c>
      <c r="D697" s="71" t="n">
        <f aca="false">B697-A697*(1-C697)</f>
        <v>6.71799069016591E-005</v>
      </c>
    </row>
    <row r="698" customFormat="false" ht="15" hidden="false" customHeight="true" outlineLevel="0" collapsed="false">
      <c r="A698" s="70" t="n">
        <v>3.47</v>
      </c>
      <c r="B698" s="71" t="n">
        <f aca="false">_xlfn.NORM.S.DIST(A698,FALSE())</f>
        <v>0.000968861842919846</v>
      </c>
      <c r="C698" s="71" t="n">
        <f aca="false">_xlfn.NORM.S.DIST(A698,TRUE())</f>
        <v>0.999739770817573</v>
      </c>
      <c r="D698" s="71" t="n">
        <f aca="false">B698-A698*(1-C698)</f>
        <v>6.58665798963575E-005</v>
      </c>
    </row>
    <row r="699" customFormat="false" ht="15" hidden="false" customHeight="true" outlineLevel="0" collapsed="false">
      <c r="A699" s="70" t="n">
        <v>3.475</v>
      </c>
      <c r="B699" s="71" t="n">
        <f aca="false">_xlfn.NORM.S.DIST(A699,FALSE())</f>
        <v>0.000952185172456269</v>
      </c>
      <c r="C699" s="71" t="n">
        <f aca="false">_xlfn.NORM.S.DIST(A699,TRUE())</f>
        <v>0.999744573324471</v>
      </c>
      <c r="D699" s="71" t="n">
        <f aca="false">B699-A699*(1-C699)</f>
        <v>6.45774749944519E-005</v>
      </c>
    </row>
    <row r="700" customFormat="false" ht="15" hidden="false" customHeight="true" outlineLevel="0" collapsed="false">
      <c r="A700" s="70" t="n">
        <v>3.48</v>
      </c>
      <c r="B700" s="71" t="n">
        <f aca="false">_xlfn.NORM.S.DIST(A700,FALSE())</f>
        <v>0.00093577215692748</v>
      </c>
      <c r="C700" s="71" t="n">
        <f aca="false">_xlfn.NORM.S.DIST(A700,TRUE())</f>
        <v>0.99974929310872</v>
      </c>
      <c r="D700" s="71" t="n">
        <f aca="false">B700-A700*(1-C700)</f>
        <v>6.33121752713979E-005</v>
      </c>
    </row>
    <row r="701" customFormat="false" ht="15" hidden="false" customHeight="true" outlineLevel="0" collapsed="false">
      <c r="A701" s="70" t="n">
        <v>3.485</v>
      </c>
      <c r="B701" s="71" t="n">
        <f aca="false">_xlfn.NORM.S.DIST(A701,FALSE())</f>
        <v>0.000919619065225809</v>
      </c>
      <c r="C701" s="71" t="n">
        <f aca="false">_xlfn.NORM.S.DIST(A701,TRUE())</f>
        <v>0.999753931479245</v>
      </c>
      <c r="D701" s="71" t="n">
        <f aca="false">B701-A701*(1-C701)</f>
        <v>6.20702703933395E-005</v>
      </c>
    </row>
    <row r="702" customFormat="false" ht="15" hidden="false" customHeight="true" outlineLevel="0" collapsed="false">
      <c r="A702" s="70" t="n">
        <v>3.49</v>
      </c>
      <c r="B702" s="71" t="n">
        <f aca="false">_xlfn.NORM.S.DIST(A702,FALSE())</f>
        <v>0.000903722211277525</v>
      </c>
      <c r="C702" s="71" t="n">
        <f aca="false">_xlfn.NORM.S.DIST(A702,TRUE())</f>
        <v>0.999758489726432</v>
      </c>
      <c r="D702" s="71" t="n">
        <f aca="false">B702-A702*(1-C702)</f>
        <v>6.08513565255852E-005</v>
      </c>
    </row>
    <row r="703" customFormat="false" ht="15" hidden="false" customHeight="true" outlineLevel="0" collapsed="false">
      <c r="A703" s="70" t="n">
        <v>3.495</v>
      </c>
      <c r="B703" s="71" t="n">
        <f aca="false">_xlfn.NORM.S.DIST(A703,FALSE())</f>
        <v>0.000888077953630882</v>
      </c>
      <c r="C703" s="71" t="n">
        <f aca="false">_xlfn.NORM.S.DIST(A703,TRUE())</f>
        <v>0.999762969122349</v>
      </c>
      <c r="D703" s="71" t="n">
        <f aca="false">B703-A703*(1-C703)</f>
        <v>5.96550362397412E-005</v>
      </c>
    </row>
    <row r="704" customFormat="false" ht="15" hidden="false" customHeight="true" outlineLevel="0" collapsed="false">
      <c r="A704" s="70" t="n">
        <v>3.5</v>
      </c>
      <c r="B704" s="71" t="n">
        <f aca="false">_xlfn.NORM.S.DIST(A704,FALSE())</f>
        <v>0.00087268269504576</v>
      </c>
      <c r="C704" s="71" t="n">
        <f aca="false">_xlfn.NORM.S.DIST(A704,TRUE())</f>
        <v>0.999767370920965</v>
      </c>
      <c r="D704" s="71" t="n">
        <f aca="false">B704-A704*(1-C704)</f>
        <v>5.84809184213699E-005</v>
      </c>
    </row>
    <row r="705" customFormat="false" ht="15" hidden="false" customHeight="true" outlineLevel="0" collapsed="false">
      <c r="A705" s="70" t="n">
        <v>3.505</v>
      </c>
      <c r="B705" s="71" t="n">
        <f aca="false">_xlfn.NORM.S.DIST(A705,FALSE())</f>
        <v>0.000857532882084917</v>
      </c>
      <c r="C705" s="71" t="n">
        <f aca="false">_xlfn.NORM.S.DIST(A705,TRUE())</f>
        <v>0.999771696358373</v>
      </c>
      <c r="D705" s="71" t="n">
        <f aca="false">B705-A705*(1-C705)</f>
        <v>5.7328618181647E-005</v>
      </c>
    </row>
    <row r="706" customFormat="false" ht="15" hidden="false" customHeight="true" outlineLevel="0" collapsed="false">
      <c r="A706" s="70" t="n">
        <v>3.51</v>
      </c>
      <c r="B706" s="71" t="n">
        <f aca="false">_xlfn.NORM.S.DIST(A706,FALSE())</f>
        <v>0.000842625004706903</v>
      </c>
      <c r="C706" s="71" t="n">
        <f aca="false">_xlfn.NORM.S.DIST(A706,TRUE())</f>
        <v>0.999775946653009</v>
      </c>
      <c r="D706" s="71" t="n">
        <f aca="false">B706-A706*(1-C706)</f>
        <v>5.61977567683214E-005</v>
      </c>
    </row>
    <row r="707" customFormat="false" ht="15" hidden="false" customHeight="true" outlineLevel="0" collapsed="false">
      <c r="A707" s="70" t="n">
        <v>3.515</v>
      </c>
      <c r="B707" s="71" t="n">
        <f aca="false">_xlfn.NORM.S.DIST(A707,FALSE())</f>
        <v>0.000827955595860654</v>
      </c>
      <c r="C707" s="71" t="n">
        <f aca="false">_xlfn.NORM.S.DIST(A707,TRUE())</f>
        <v>0.999780123005865</v>
      </c>
      <c r="D707" s="71" t="n">
        <f aca="false">B707-A707*(1-C707)</f>
        <v>5.50879614763089E-005</v>
      </c>
    </row>
    <row r="708" customFormat="false" ht="15" hidden="false" customHeight="true" outlineLevel="0" collapsed="false">
      <c r="A708" s="70" t="n">
        <v>3.52</v>
      </c>
      <c r="B708" s="71" t="n">
        <f aca="false">_xlfn.NORM.S.DIST(A708,FALSE())</f>
        <v>0.000813521231081809</v>
      </c>
      <c r="C708" s="71" t="n">
        <f aca="false">_xlfn.NORM.S.DIST(A708,TRUE())</f>
        <v>0.999784226600705</v>
      </c>
      <c r="D708" s="71" t="n">
        <f aca="false">B708-A708*(1-C708)</f>
        <v>5.3998865564524E-005</v>
      </c>
    </row>
    <row r="709" customFormat="false" ht="15" hidden="false" customHeight="true" outlineLevel="0" collapsed="false">
      <c r="A709" s="70" t="n">
        <v>3.525</v>
      </c>
      <c r="B709" s="71" t="n">
        <f aca="false">_xlfn.NORM.S.DIST(A709,FALSE())</f>
        <v>0.000799318528090754</v>
      </c>
      <c r="C709" s="71" t="n">
        <f aca="false">_xlfn.NORM.S.DIST(A709,TRUE())</f>
        <v>0.999788258604277</v>
      </c>
      <c r="D709" s="71" t="n">
        <f aca="false">B709-A709*(1-C709)</f>
        <v>5.29301081656226E-005</v>
      </c>
    </row>
    <row r="710" customFormat="false" ht="15" hidden="false" customHeight="true" outlineLevel="0" collapsed="false">
      <c r="A710" s="70" t="n">
        <v>3.53</v>
      </c>
      <c r="B710" s="71" t="n">
        <f aca="false">_xlfn.NORM.S.DIST(A710,FALSE())</f>
        <v>0.00078534414639247</v>
      </c>
      <c r="C710" s="71" t="n">
        <f aca="false">_xlfn.NORM.S.DIST(A710,TRUE())</f>
        <v>0.999792220166519</v>
      </c>
      <c r="D710" s="71" t="n">
        <f aca="false">B710-A710*(1-C710)</f>
        <v>5.18813342058218E-005</v>
      </c>
    </row>
    <row r="711" customFormat="false" ht="15" hidden="false" customHeight="true" outlineLevel="0" collapsed="false">
      <c r="A711" s="70" t="n">
        <v>3.535</v>
      </c>
      <c r="B711" s="71" t="n">
        <f aca="false">_xlfn.NORM.S.DIST(A711,FALSE())</f>
        <v>0.000771594786878156</v>
      </c>
      <c r="C711" s="71" t="n">
        <f aca="false">_xlfn.NORM.S.DIST(A711,TRUE())</f>
        <v>0.999796112420775</v>
      </c>
      <c r="D711" s="71" t="n">
        <f aca="false">B711-A711*(1-C711)</f>
        <v>5.0852194318317E-005</v>
      </c>
    </row>
    <row r="712" customFormat="false" ht="15" hidden="false" customHeight="true" outlineLevel="0" collapsed="false">
      <c r="A712" s="70" t="n">
        <v>3.54</v>
      </c>
      <c r="B712" s="71" t="n">
        <f aca="false">_xlfn.NORM.S.DIST(A712,FALSE())</f>
        <v>0.00075806719142871</v>
      </c>
      <c r="C712" s="71" t="n">
        <f aca="false">_xlfn.NORM.S.DIST(A712,TRUE())</f>
        <v>0.999799936483993</v>
      </c>
      <c r="D712" s="71" t="n">
        <f aca="false">B712-A712*(1-C712)</f>
        <v>4.98423447627956E-005</v>
      </c>
    </row>
    <row r="713" customFormat="false" ht="15" hidden="false" customHeight="true" outlineLevel="0" collapsed="false">
      <c r="A713" s="70" t="n">
        <v>3.545</v>
      </c>
      <c r="B713" s="71" t="n">
        <f aca="false">_xlfn.NORM.S.DIST(A713,FALSE())</f>
        <v>0.000744758142520047</v>
      </c>
      <c r="C713" s="71" t="n">
        <f aca="false">_xlfn.NORM.S.DIST(A713,TRUE())</f>
        <v>0.999803693456932</v>
      </c>
      <c r="D713" s="71" t="n">
        <f aca="false">B713-A713*(1-C713)</f>
        <v>4.88514473423613E-005</v>
      </c>
    </row>
    <row r="714" customFormat="false" ht="15" hidden="false" customHeight="true" outlineLevel="0" collapsed="false">
      <c r="A714" s="70" t="n">
        <v>3.55</v>
      </c>
      <c r="B714" s="71" t="n">
        <f aca="false">_xlfn.NORM.S.DIST(A714,FALSE())</f>
        <v>0.000731664462830311</v>
      </c>
      <c r="C714" s="71" t="n">
        <f aca="false">_xlfn.NORM.S.DIST(A714,TRUE())</f>
        <v>0.999807384424364</v>
      </c>
      <c r="D714" s="71" t="n">
        <f aca="false">B714-A714*(1-C714)</f>
        <v>4.78791693237274E-005</v>
      </c>
    </row>
    <row r="715" customFormat="false" ht="15" hidden="false" customHeight="true" outlineLevel="0" collapsed="false">
      <c r="A715" s="70" t="n">
        <v>3.555</v>
      </c>
      <c r="B715" s="71" t="n">
        <f aca="false">_xlfn.NORM.S.DIST(A715,FALSE())</f>
        <v>0.000718783014849003</v>
      </c>
      <c r="C715" s="71" t="n">
        <f aca="false">_xlfn.NORM.S.DIST(A715,TRUE())</f>
        <v>0.999811010455277</v>
      </c>
      <c r="D715" s="71" t="n">
        <f aca="false">B715-A715*(1-C715)</f>
        <v>4.69251833590718E-005</v>
      </c>
    </row>
    <row r="716" customFormat="false" ht="15" hidden="false" customHeight="true" outlineLevel="0" collapsed="false">
      <c r="A716" s="70" t="n">
        <v>3.56</v>
      </c>
      <c r="B716" s="71" t="n">
        <f aca="false">_xlfn.NORM.S.DIST(A716,FALSE())</f>
        <v>0.000706110700488036</v>
      </c>
      <c r="C716" s="71" t="n">
        <f aca="false">_xlfn.NORM.S.DIST(A716,TRUE())</f>
        <v>0.999814572603067</v>
      </c>
      <c r="D716" s="71" t="n">
        <f aca="false">B716-A716*(1-C716)</f>
        <v>4.59891674055601E-005</v>
      </c>
    </row>
    <row r="717" customFormat="false" ht="15" hidden="false" customHeight="true" outlineLevel="0" collapsed="false">
      <c r="A717" s="70" t="n">
        <v>3.565</v>
      </c>
      <c r="B717" s="71" t="n">
        <f aca="false">_xlfn.NORM.S.DIST(A717,FALSE())</f>
        <v>0.000693644460694746</v>
      </c>
      <c r="C717" s="71" t="n">
        <f aca="false">_xlfn.NORM.S.DIST(A717,TRUE())</f>
        <v>0.999818071905738</v>
      </c>
      <c r="D717" s="71" t="n">
        <f aca="false">B717-A717*(1-C717)</f>
        <v>4.50708046487907E-005</v>
      </c>
    </row>
    <row r="718" customFormat="false" ht="15" hidden="false" customHeight="true" outlineLevel="0" collapsed="false">
      <c r="A718" s="70" t="n">
        <v>3.57</v>
      </c>
      <c r="B718" s="71" t="n">
        <f aca="false">_xlfn.NORM.S.DIST(A718,FALSE())</f>
        <v>0.000681381275066892</v>
      </c>
      <c r="C718" s="71" t="n">
        <f aca="false">_xlfn.NORM.S.DIST(A718,TRUE())</f>
        <v>0.999821509386095</v>
      </c>
      <c r="D718" s="71" t="n">
        <f aca="false">B718-A718*(1-C718)</f>
        <v>4.41697834265884E-005</v>
      </c>
    </row>
    <row r="719" customFormat="false" ht="15" hidden="false" customHeight="true" outlineLevel="0" collapsed="false">
      <c r="A719" s="70" t="n">
        <v>3.575</v>
      </c>
      <c r="B719" s="71" t="n">
        <f aca="false">_xlfn.NORM.S.DIST(A719,FALSE())</f>
        <v>0.000669318161469658</v>
      </c>
      <c r="C719" s="71" t="n">
        <f aca="false">_xlfn.NORM.S.DIST(A719,TRUE())</f>
        <v>0.999824886051939</v>
      </c>
      <c r="D719" s="71" t="n">
        <f aca="false">B719-A719*(1-C719)</f>
        <v>4.32857971530876E-005</v>
      </c>
    </row>
    <row r="720" customFormat="false" ht="15" hidden="false" customHeight="true" outlineLevel="0" collapsed="false">
      <c r="A720" s="70" t="n">
        <v>3.58</v>
      </c>
      <c r="B720" s="71" t="n">
        <f aca="false">_xlfn.NORM.S.DIST(A720,FALSE())</f>
        <v>0.000657452175654677</v>
      </c>
      <c r="C720" s="71" t="n">
        <f aca="false">_xlfn.NORM.S.DIST(A720,TRUE())</f>
        <v>0.999828202896254</v>
      </c>
      <c r="D720" s="71" t="n">
        <f aca="false">B720-A720*(1-C720)</f>
        <v>4.24185442442478E-005</v>
      </c>
    </row>
    <row r="721" customFormat="false" ht="15" hidden="false" customHeight="true" outlineLevel="0" collapsed="false">
      <c r="A721" s="70" t="n">
        <v>3.585</v>
      </c>
      <c r="B721" s="71" t="n">
        <f aca="false">_xlfn.NORM.S.DIST(A721,FALSE())</f>
        <v>0.000645780410881104</v>
      </c>
      <c r="C721" s="71" t="n">
        <f aca="false">_xlfn.NORM.S.DIST(A721,TRUE())</f>
        <v>0.999831460897396</v>
      </c>
      <c r="D721" s="71" t="n">
        <f aca="false">B721-A721*(1-C721)</f>
        <v>4.15677280443571E-005</v>
      </c>
    </row>
    <row r="722" customFormat="false" ht="15" hidden="false" customHeight="true" outlineLevel="0" collapsed="false">
      <c r="A722" s="70" t="n">
        <v>3.59</v>
      </c>
      <c r="B722" s="71" t="n">
        <f aca="false">_xlfn.NORM.S.DIST(A722,FALSE())</f>
        <v>0.000634299997538758</v>
      </c>
      <c r="C722" s="71" t="n">
        <f aca="false">_xlfn.NORM.S.DIST(A722,TRUE())</f>
        <v>0.99983466101928</v>
      </c>
      <c r="D722" s="71" t="n">
        <f aca="false">B722-A722*(1-C722)</f>
        <v>4.0733056753487E-005</v>
      </c>
    </row>
    <row r="723" customFormat="false" ht="15" hidden="false" customHeight="true" outlineLevel="0" collapsed="false">
      <c r="A723" s="70" t="n">
        <v>3.595</v>
      </c>
      <c r="B723" s="71" t="n">
        <f aca="false">_xlfn.NORM.S.DIST(A723,FALSE())</f>
        <v>0.00062300810277334</v>
      </c>
      <c r="C723" s="71" t="n">
        <f aca="false">_xlfn.NORM.S.DIST(A723,TRUE())</f>
        <v>0.999837804211567</v>
      </c>
      <c r="D723" s="71" t="n">
        <f aca="false">B723-A723*(1-C723)</f>
        <v>3.99142433554457E-005</v>
      </c>
    </row>
    <row r="724" customFormat="false" ht="15" hidden="false" customHeight="true" outlineLevel="0" collapsed="false">
      <c r="A724" s="70" t="n">
        <v>3.6</v>
      </c>
      <c r="B724" s="71" t="n">
        <f aca="false">_xlfn.NORM.S.DIST(A724,FALSE())</f>
        <v>0.000611901930113772</v>
      </c>
      <c r="C724" s="71" t="n">
        <f aca="false">_xlfn.NORM.S.DIST(A724,TRUE())</f>
        <v>0.999840891409842</v>
      </c>
      <c r="D724" s="71" t="n">
        <f aca="false">B724-A724*(1-C724)</f>
        <v>3.91110055465816E-005</v>
      </c>
    </row>
    <row r="725" customFormat="false" ht="15" hidden="false" customHeight="true" outlineLevel="0" collapsed="false">
      <c r="A725" s="70" t="n">
        <v>3.605</v>
      </c>
      <c r="B725" s="71" t="n">
        <f aca="false">_xlfn.NORM.S.DIST(A725,FALSE())</f>
        <v>0.000600978719101639</v>
      </c>
      <c r="C725" s="71" t="n">
        <f aca="false">_xlfn.NORM.S.DIST(A725,TRUE())</f>
        <v>0.999843923535802</v>
      </c>
      <c r="D725" s="71" t="n">
        <f aca="false">B725-A725*(1-C725)</f>
        <v>3.83230656673827E-005</v>
      </c>
    </row>
    <row r="726" customFormat="false" ht="15" hidden="false" customHeight="true" outlineLevel="0" collapsed="false">
      <c r="A726" s="70" t="n">
        <v>3.61</v>
      </c>
      <c r="B726" s="71" t="n">
        <f aca="false">_xlfn.NORM.S.DIST(A726,FALSE())</f>
        <v>0.000590235744922786</v>
      </c>
      <c r="C726" s="71" t="n">
        <f aca="false">_xlfn.NORM.S.DIST(A726,TRUE())</f>
        <v>0.999846901497426</v>
      </c>
      <c r="D726" s="71" t="n">
        <f aca="false">B726-A726*(1-C726)</f>
        <v>3.75501506316454E-005</v>
      </c>
    </row>
    <row r="727" customFormat="false" ht="15" hidden="false" customHeight="true" outlineLevel="0" collapsed="false">
      <c r="A727" s="70" t="n">
        <v>3.615</v>
      </c>
      <c r="B727" s="71" t="n">
        <f aca="false">_xlfn.NORM.S.DIST(A727,FALSE())</f>
        <v>0.000579670318041063</v>
      </c>
      <c r="C727" s="71" t="n">
        <f aca="false">_xlfn.NORM.S.DIST(A727,TRUE())</f>
        <v>0.999849826189161</v>
      </c>
      <c r="D727" s="71" t="n">
        <f aca="false">B727-A727*(1-C727)</f>
        <v>3.67919918591442E-005</v>
      </c>
    </row>
    <row r="728" customFormat="false" ht="15" hidden="false" customHeight="true" outlineLevel="0" collapsed="false">
      <c r="A728" s="70" t="n">
        <v>3.62</v>
      </c>
      <c r="B728" s="71" t="n">
        <f aca="false">_xlfn.NORM.S.DIST(A728,FALSE())</f>
        <v>0.000569279783834253</v>
      </c>
      <c r="C728" s="71" t="n">
        <f aca="false">_xlfn.NORM.S.DIST(A728,TRUE())</f>
        <v>0.999852698492093</v>
      </c>
      <c r="D728" s="71" t="n">
        <f aca="false">B728-A728*(1-C728)</f>
        <v>3.60483252093671E-005</v>
      </c>
    </row>
    <row r="729" customFormat="false" ht="15" hidden="false" customHeight="true" outlineLevel="0" collapsed="false">
      <c r="A729" s="70" t="n">
        <v>3.625</v>
      </c>
      <c r="B729" s="71" t="n">
        <f aca="false">_xlfn.NORM.S.DIST(A729,FALSE())</f>
        <v>0.000559061522232165</v>
      </c>
      <c r="C729" s="71" t="n">
        <f aca="false">_xlfn.NORM.S.DIST(A729,TRUE())</f>
        <v>0.999855519274119</v>
      </c>
      <c r="D729" s="71" t="n">
        <f aca="false">B729-A729*(1-C729)</f>
        <v>3.53188909126467E-005</v>
      </c>
    </row>
    <row r="730" customFormat="false" ht="15" hidden="false" customHeight="true" outlineLevel="0" collapsed="false">
      <c r="A730" s="70" t="n">
        <v>3.63</v>
      </c>
      <c r="B730" s="71" t="n">
        <f aca="false">_xlfn.NORM.S.DIST(A730,FALSE())</f>
        <v>0.000549012947356959</v>
      </c>
      <c r="C730" s="71" t="n">
        <f aca="false">_xlfn.NORM.S.DIST(A730,TRUE())</f>
        <v>0.999858289390124</v>
      </c>
      <c r="D730" s="71" t="n">
        <f aca="false">B730-A730*(1-C730)</f>
        <v>3.46034335078842E-005</v>
      </c>
    </row>
    <row r="731" customFormat="false" ht="15" hidden="false" customHeight="true" outlineLevel="0" collapsed="false">
      <c r="A731" s="70" t="n">
        <v>3.635</v>
      </c>
      <c r="B731" s="71" t="n">
        <f aca="false">_xlfn.NORM.S.DIST(A731,FALSE())</f>
        <v>0.000539131507165664</v>
      </c>
      <c r="C731" s="71" t="n">
        <f aca="false">_xlfn.NORM.S.DIST(A731,TRUE())</f>
        <v>0.999861009682148</v>
      </c>
      <c r="D731" s="71" t="n">
        <f aca="false">B731-A731*(1-C731)</f>
        <v>3.39017017747528E-005</v>
      </c>
    </row>
    <row r="732" customFormat="false" ht="15" hidden="false" customHeight="true" outlineLevel="0" collapsed="false">
      <c r="A732" s="70" t="n">
        <v>3.64</v>
      </c>
      <c r="B732" s="71" t="n">
        <f aca="false">_xlfn.NORM.S.DIST(A732,FALSE())</f>
        <v>0.000529414683094935</v>
      </c>
      <c r="C732" s="71" t="n">
        <f aca="false">_xlfn.NORM.S.DIST(A732,TRUE())</f>
        <v>0.999863680979554</v>
      </c>
      <c r="D732" s="71" t="n">
        <f aca="false">B732-A732*(1-C732)</f>
        <v>3.32134486723972E-005</v>
      </c>
    </row>
    <row r="733" customFormat="false" ht="15" hidden="false" customHeight="true" outlineLevel="0" collapsed="false">
      <c r="A733" s="70" t="n">
        <v>3.645</v>
      </c>
      <c r="B733" s="71" t="n">
        <f aca="false">_xlfn.NORM.S.DIST(A733,FALSE())</f>
        <v>0.000519859989708056</v>
      </c>
      <c r="C733" s="71" t="n">
        <f aca="false">_xlfn.NORM.S.DIST(A733,TRUE())</f>
        <v>0.999866304099195</v>
      </c>
      <c r="D733" s="71" t="n">
        <f aca="false">B733-A733*(1-C733)</f>
        <v>3.25384312745272E-005</v>
      </c>
    </row>
    <row r="734" customFormat="false" ht="15" hidden="false" customHeight="true" outlineLevel="0" collapsed="false">
      <c r="A734" s="70" t="n">
        <v>3.65</v>
      </c>
      <c r="B734" s="71" t="n">
        <f aca="false">_xlfn.NORM.S.DIST(A734,FALSE())</f>
        <v>0.000510464974344186</v>
      </c>
      <c r="C734" s="71" t="n">
        <f aca="false">_xlfn.NORM.S.DIST(A734,TRUE())</f>
        <v>0.99986887984558</v>
      </c>
      <c r="D734" s="71" t="n">
        <f aca="false">B734-A734*(1-C734)</f>
        <v>3.18764107093004E-005</v>
      </c>
    </row>
    <row r="735" customFormat="false" ht="15" hidden="false" customHeight="true" outlineLevel="0" collapsed="false">
      <c r="A735" s="70" t="n">
        <v>3.655</v>
      </c>
      <c r="B735" s="71" t="n">
        <f aca="false">_xlfn.NORM.S.DIST(A735,FALSE())</f>
        <v>0.000501227216769882</v>
      </c>
      <c r="C735" s="71" t="n">
        <f aca="false">_xlfn.NORM.S.DIST(A735,TRUE())</f>
        <v>0.999871409011033</v>
      </c>
      <c r="D735" s="71" t="n">
        <f aca="false">B735-A735*(1-C735)</f>
        <v>3.12271520962961E-005</v>
      </c>
    </row>
    <row r="736" customFormat="false" ht="15" hidden="false" customHeight="true" outlineLevel="0" collapsed="false">
      <c r="A736" s="70" t="n">
        <v>3.66</v>
      </c>
      <c r="B736" s="71" t="n">
        <f aca="false">_xlfn.NORM.S.DIST(A736,FALSE())</f>
        <v>0.000492144328832893</v>
      </c>
      <c r="C736" s="71" t="n">
        <f aca="false">_xlfn.NORM.S.DIST(A736,TRUE())</f>
        <v>0.999873892375862</v>
      </c>
      <c r="D736" s="71" t="n">
        <f aca="false">B736-A736*(1-C736)</f>
        <v>3.05904244861677E-005</v>
      </c>
    </row>
    <row r="737" customFormat="false" ht="15" hidden="false" customHeight="true" outlineLevel="0" collapsed="false">
      <c r="A737" s="70" t="n">
        <v>3.665</v>
      </c>
      <c r="B737" s="71" t="n">
        <f aca="false">_xlfn.NORM.S.DIST(A737,FALSE())</f>
        <v>0.000483213954118246</v>
      </c>
      <c r="C737" s="71" t="n">
        <f aca="false">_xlfn.NORM.S.DIST(A737,TRUE())</f>
        <v>0.999876330708509</v>
      </c>
      <c r="D737" s="71" t="n">
        <f aca="false">B737-A737*(1-C737)</f>
        <v>2.99660008017301E-005</v>
      </c>
    </row>
    <row r="738" customFormat="false" ht="15" hidden="false" customHeight="true" outlineLevel="0" collapsed="false">
      <c r="A738" s="70" t="n">
        <v>3.67</v>
      </c>
      <c r="B738" s="71" t="n">
        <f aca="false">_xlfn.NORM.S.DIST(A738,FALSE())</f>
        <v>0.000474433767606621</v>
      </c>
      <c r="C738" s="71" t="n">
        <f aca="false">_xlfn.NORM.S.DIST(A738,TRUE())</f>
        <v>0.999878724765715</v>
      </c>
      <c r="D738" s="71" t="n">
        <f aca="false">B738-A738*(1-C738)</f>
        <v>2.93536577792002E-005</v>
      </c>
    </row>
    <row r="739" customFormat="false" ht="15" hidden="false" customHeight="true" outlineLevel="0" collapsed="false">
      <c r="A739" s="70" t="n">
        <v>3.675</v>
      </c>
      <c r="B739" s="71" t="n">
        <f aca="false">_xlfn.NORM.S.DIST(A739,FALSE())</f>
        <v>0.000465801475335037</v>
      </c>
      <c r="C739" s="71" t="n">
        <f aca="false">_xlfn.NORM.S.DIST(A739,TRUE())</f>
        <v>0.999881075292673</v>
      </c>
      <c r="D739" s="71" t="n">
        <f aca="false">B739-A739*(1-C739)</f>
        <v>2.87531759091465E-005</v>
      </c>
    </row>
    <row r="740" customFormat="false" ht="15" hidden="false" customHeight="true" outlineLevel="0" collapsed="false">
      <c r="A740" s="70" t="n">
        <v>3.68</v>
      </c>
      <c r="B740" s="71" t="n">
        <f aca="false">_xlfn.NORM.S.DIST(A740,FALSE())</f>
        <v>0.000457314814059857</v>
      </c>
      <c r="C740" s="71" t="n">
        <f aca="false">_xlfn.NORM.S.DIST(A740,TRUE())</f>
        <v>0.999883383023185</v>
      </c>
      <c r="D740" s="71" t="n">
        <f aca="false">B740-A740*(1-C740)</f>
        <v>2.81643393791105E-005</v>
      </c>
    </row>
    <row r="741" customFormat="false" ht="15" hidden="false" customHeight="true" outlineLevel="0" collapsed="false">
      <c r="A741" s="70" t="n">
        <v>3.685</v>
      </c>
      <c r="B741" s="71" t="n">
        <f aca="false">_xlfn.NORM.S.DIST(A741,FALSE())</f>
        <v>0.000448971550922107</v>
      </c>
      <c r="C741" s="71" t="n">
        <f aca="false">_xlfn.NORM.S.DIST(A741,TRUE())</f>
        <v>0.999885648679809</v>
      </c>
      <c r="D741" s="71" t="n">
        <f aca="false">B741-A741*(1-C741)</f>
        <v>2.75869360186912E-005</v>
      </c>
    </row>
    <row r="742" customFormat="false" ht="15" hidden="false" customHeight="true" outlineLevel="0" collapsed="false">
      <c r="A742" s="70" t="n">
        <v>3.69</v>
      </c>
      <c r="B742" s="71" t="n">
        <f aca="false">_xlfn.NORM.S.DIST(A742,FALSE())</f>
        <v>0.000440769483115133</v>
      </c>
      <c r="C742" s="71" t="n">
        <f aca="false">_xlfn.NORM.S.DIST(A742,TRUE())</f>
        <v>0.999887872974018</v>
      </c>
      <c r="D742" s="71" t="n">
        <f aca="false">B742-A742*(1-C742)</f>
        <v>2.7020757240485E-005</v>
      </c>
    </row>
    <row r="743" customFormat="false" ht="15" hidden="false" customHeight="true" outlineLevel="0" collapsed="false">
      <c r="A743" s="70" t="n">
        <v>3.695</v>
      </c>
      <c r="B743" s="71" t="n">
        <f aca="false">_xlfn.NORM.S.DIST(A743,FALSE())</f>
        <v>0.000432706437554583</v>
      </c>
      <c r="C743" s="71" t="n">
        <f aca="false">_xlfn.NORM.S.DIST(A743,TRUE())</f>
        <v>0.999890056606342</v>
      </c>
      <c r="D743" s="71" t="n">
        <f aca="false">B743-A743*(1-C743)</f>
        <v>2.64655979895172E-005</v>
      </c>
    </row>
    <row r="744" customFormat="false" ht="15" hidden="false" customHeight="true" outlineLevel="0" collapsed="false">
      <c r="A744" s="70" t="n">
        <v>3.7</v>
      </c>
      <c r="B744" s="71" t="n">
        <f aca="false">_xlfn.NORM.S.DIST(A744,FALSE())</f>
        <v>0.000424780270550751</v>
      </c>
      <c r="C744" s="71" t="n">
        <f aca="false">_xlfn.NORM.S.DIST(A744,TRUE())</f>
        <v>0.999892200266523</v>
      </c>
      <c r="D744" s="71" t="n">
        <f aca="false">B744-A744*(1-C744)</f>
        <v>2.59212566843364E-005</v>
      </c>
    </row>
    <row r="745" customFormat="false" ht="15" hidden="false" customHeight="true" outlineLevel="0" collapsed="false">
      <c r="A745" s="70" t="n">
        <v>3.705</v>
      </c>
      <c r="B745" s="71" t="n">
        <f aca="false">_xlfn.NORM.S.DIST(A745,FALSE())</f>
        <v>0.000416988867483257</v>
      </c>
      <c r="C745" s="71" t="n">
        <f aca="false">_xlfn.NORM.S.DIST(A745,TRUE())</f>
        <v>0.999894304633653</v>
      </c>
      <c r="D745" s="71" t="n">
        <f aca="false">B745-A745*(1-C745)</f>
        <v>2.53875351669119E-005</v>
      </c>
    </row>
    <row r="746" customFormat="false" ht="15" hidden="false" customHeight="true" outlineLevel="0" collapsed="false">
      <c r="A746" s="70" t="n">
        <v>3.71</v>
      </c>
      <c r="B746" s="71" t="n">
        <f aca="false">_xlfn.NORM.S.DIST(A746,FALSE())</f>
        <v>0.000409330142478079</v>
      </c>
      <c r="C746" s="71" t="n">
        <f aca="false">_xlfn.NORM.S.DIST(A746,TRUE())</f>
        <v>0.999896370376326</v>
      </c>
      <c r="D746" s="71" t="n">
        <f aca="false">B746-A746*(1-C746)</f>
        <v>2.48642386473503E-005</v>
      </c>
    </row>
    <row r="747" customFormat="false" ht="15" hidden="false" customHeight="true" outlineLevel="0" collapsed="false">
      <c r="A747" s="70" t="n">
        <v>3.715</v>
      </c>
      <c r="B747" s="71" t="n">
        <f aca="false">_xlfn.NORM.S.DIST(A747,FALSE())</f>
        <v>0.000401802038086958</v>
      </c>
      <c r="C747" s="71" t="n">
        <f aca="false">_xlfn.NORM.S.DIST(A747,TRUE())</f>
        <v>0.999898398152777</v>
      </c>
      <c r="D747" s="71" t="n">
        <f aca="false">B747-A747*(1-C747)</f>
        <v>2.43511756536423E-005</v>
      </c>
    </row>
    <row r="748" customFormat="false" ht="15" hidden="false" customHeight="true" outlineLevel="0" collapsed="false">
      <c r="A748" s="70" t="n">
        <v>3.72</v>
      </c>
      <c r="B748" s="71" t="n">
        <f aca="false">_xlfn.NORM.S.DIST(A748,FALSE())</f>
        <v>0.000394402524969156</v>
      </c>
      <c r="C748" s="71" t="n">
        <f aca="false">_xlfn.NORM.S.DIST(A748,TRUE())</f>
        <v>0.999900388611024</v>
      </c>
      <c r="D748" s="71" t="n">
        <f aca="false">B748-A748*(1-C748)</f>
        <v>2.38481579785776E-005</v>
      </c>
    </row>
    <row r="749" customFormat="false" ht="15" hidden="false" customHeight="true" outlineLevel="0" collapsed="false">
      <c r="A749" s="70" t="n">
        <v>3.725</v>
      </c>
      <c r="B749" s="71" t="n">
        <f aca="false">_xlfn.NORM.S.DIST(A749,FALSE())</f>
        <v>0.000387129601575589</v>
      </c>
      <c r="C749" s="71" t="n">
        <f aca="false">_xlfn.NORM.S.DIST(A749,TRUE())</f>
        <v>0.999902342389008</v>
      </c>
      <c r="D749" s="71" t="n">
        <f aca="false">B749-A749*(1-C749)</f>
        <v>2.33550006307729E-005</v>
      </c>
    </row>
    <row r="750" customFormat="false" ht="15" hidden="false" customHeight="true" outlineLevel="0" collapsed="false">
      <c r="A750" s="70" t="n">
        <v>3.73</v>
      </c>
      <c r="B750" s="71" t="n">
        <f aca="false">_xlfn.NORM.S.DIST(A750,FALSE())</f>
        <v>0.000379981293835321</v>
      </c>
      <c r="C750" s="71" t="n">
        <f aca="false">_xlfn.NORM.S.DIST(A750,TRUE())</f>
        <v>0.999904260114731</v>
      </c>
      <c r="D750" s="71" t="n">
        <f aca="false">B750-A750*(1-C750)</f>
        <v>2.28715217823345E-005</v>
      </c>
    </row>
    <row r="751" customFormat="false" ht="15" hidden="false" customHeight="true" outlineLevel="0" collapsed="false">
      <c r="A751" s="70" t="n">
        <v>3.735</v>
      </c>
      <c r="B751" s="71" t="n">
        <f aca="false">_xlfn.NORM.S.DIST(A751,FALSE())</f>
        <v>0.000372955654844447</v>
      </c>
      <c r="C751" s="71" t="n">
        <f aca="false">_xlfn.NORM.S.DIST(A751,TRUE())</f>
        <v>0.999906142406393</v>
      </c>
      <c r="D751" s="71" t="n">
        <f aca="false">B751-A751*(1-C751)</f>
        <v>2.23975427217846E-005</v>
      </c>
    </row>
    <row r="752" customFormat="false" ht="15" hidden="false" customHeight="true" outlineLevel="0" collapsed="false">
      <c r="A752" s="70" t="n">
        <v>3.74</v>
      </c>
      <c r="B752" s="71" t="n">
        <f aca="false">_xlfn.NORM.S.DIST(A752,FALSE())</f>
        <v>0.000366050764557335</v>
      </c>
      <c r="C752" s="71" t="n">
        <f aca="false">_xlfn.NORM.S.DIST(A752,TRUE())</f>
        <v>0.999907989872526</v>
      </c>
      <c r="D752" s="71" t="n">
        <f aca="false">B752-A752*(1-C752)</f>
        <v>2.1932887804341E-005</v>
      </c>
    </row>
    <row r="753" customFormat="false" ht="15" hidden="false" customHeight="true" outlineLevel="0" collapsed="false">
      <c r="A753" s="70" t="n">
        <v>3.745</v>
      </c>
      <c r="B753" s="71" t="n">
        <f aca="false">_xlfn.NORM.S.DIST(A753,FALSE())</f>
        <v>0.000359264729480268</v>
      </c>
      <c r="C753" s="71" t="n">
        <f aca="false">_xlfn.NORM.S.DIST(A753,TRUE())</f>
        <v>0.999909803112129</v>
      </c>
      <c r="D753" s="71" t="n">
        <f aca="false">B753-A753*(1-C753)</f>
        <v>2.14773844032187E-005</v>
      </c>
    </row>
    <row r="754" customFormat="false" ht="15" hidden="false" customHeight="true" outlineLevel="0" collapsed="false">
      <c r="A754" s="70" t="n">
        <v>3.75</v>
      </c>
      <c r="B754" s="71" t="n">
        <f aca="false">_xlfn.NORM.S.DIST(A754,FALSE())</f>
        <v>0.000352595682367445</v>
      </c>
      <c r="C754" s="71" t="n">
        <f aca="false">_xlfn.NORM.S.DIST(A754,TRUE())</f>
        <v>0.999911582714799</v>
      </c>
      <c r="D754" s="71" t="n">
        <f aca="false">B754-A754*(1-C754)</f>
        <v>2.10308628643903E-005</v>
      </c>
    </row>
    <row r="755" customFormat="false" ht="15" hidden="false" customHeight="true" outlineLevel="0" collapsed="false">
      <c r="A755" s="70" t="n">
        <v>3.755</v>
      </c>
      <c r="B755" s="71" t="n">
        <f aca="false">_xlfn.NORM.S.DIST(A755,FALSE())</f>
        <v>0.000346041781919376</v>
      </c>
      <c r="C755" s="71" t="n">
        <f aca="false">_xlfn.NORM.S.DIST(A755,TRUE())</f>
        <v>0.999913329260862</v>
      </c>
      <c r="D755" s="71" t="n">
        <f aca="false">B755-A755*(1-C755)</f>
        <v>2.05931564572887E-005</v>
      </c>
    </row>
    <row r="756" customFormat="false" ht="15" hidden="false" customHeight="true" outlineLevel="0" collapsed="false">
      <c r="A756" s="70" t="n">
        <v>3.76</v>
      </c>
      <c r="B756" s="71" t="n">
        <f aca="false">_xlfn.NORM.S.DIST(A756,FALSE())</f>
        <v>0.000339601212483655</v>
      </c>
      <c r="C756" s="71" t="n">
        <f aca="false">_xlfn.NORM.S.DIST(A756,TRUE())</f>
        <v>0.999915043321502</v>
      </c>
      <c r="D756" s="71" t="n">
        <f aca="false">B756-A756*(1-C756)</f>
        <v>2.0164101331365E-005</v>
      </c>
    </row>
    <row r="757" customFormat="false" ht="15" hidden="false" customHeight="true" outlineLevel="0" collapsed="false">
      <c r="A757" s="70" t="n">
        <v>3.765</v>
      </c>
      <c r="B757" s="71" t="n">
        <f aca="false">_xlfn.NORM.S.DIST(A757,FALSE())</f>
        <v>0.000333272183758116</v>
      </c>
      <c r="C757" s="71" t="n">
        <f aca="false">_xlfn.NORM.S.DIST(A757,TRUE())</f>
        <v>0.999916725458887</v>
      </c>
      <c r="D757" s="71" t="n">
        <f aca="false">B757-A757*(1-C757)</f>
        <v>1.97435364676345E-005</v>
      </c>
    </row>
    <row r="758" customFormat="false" ht="15" hidden="false" customHeight="true" outlineLevel="0" collapsed="false">
      <c r="A758" s="70" t="n">
        <v>3.77</v>
      </c>
      <c r="B758" s="71" t="n">
        <f aca="false">_xlfn.NORM.S.DIST(A758,FALSE())</f>
        <v>0.000327052930496375</v>
      </c>
      <c r="C758" s="71" t="n">
        <f aca="false">_xlfn.NORM.S.DIST(A758,TRUE())</f>
        <v>0.999918376226297</v>
      </c>
      <c r="D758" s="71" t="n">
        <f aca="false">B758-A758*(1-C758)</f>
        <v>1.93313036372408E-005</v>
      </c>
    </row>
    <row r="759" customFormat="false" ht="15" hidden="false" customHeight="true" outlineLevel="0" collapsed="false">
      <c r="A759" s="70" t="n">
        <v>3.775</v>
      </c>
      <c r="B759" s="71" t="n">
        <f aca="false">_xlfn.NORM.S.DIST(A759,FALSE())</f>
        <v>0.000320941712215741</v>
      </c>
      <c r="C759" s="71" t="n">
        <f aca="false">_xlfn.NORM.S.DIST(A759,TRUE())</f>
        <v>0.999919996168249</v>
      </c>
      <c r="D759" s="71" t="n">
        <f aca="false">B759-A759*(1-C759)</f>
        <v>1.89272473553094E-005</v>
      </c>
    </row>
    <row r="760" customFormat="false" ht="15" hidden="false" customHeight="true" outlineLevel="0" collapsed="false">
      <c r="A760" s="70" t="n">
        <v>3.78</v>
      </c>
      <c r="B760" s="71" t="n">
        <f aca="false">_xlfn.NORM.S.DIST(A760,FALSE())</f>
        <v>0.000314936812907522</v>
      </c>
      <c r="C760" s="71" t="n">
        <f aca="false">_xlfn.NORM.S.DIST(A760,TRUE())</f>
        <v>0.999921585820616</v>
      </c>
      <c r="D760" s="71" t="n">
        <f aca="false">B760-A760*(1-C760)</f>
        <v>1.8531214837551E-005</v>
      </c>
    </row>
    <row r="761" customFormat="false" ht="15" hidden="false" customHeight="true" outlineLevel="0" collapsed="false">
      <c r="A761" s="70" t="n">
        <v>3.785</v>
      </c>
      <c r="B761" s="71" t="n">
        <f aca="false">_xlfn.NORM.S.DIST(A761,FALSE())</f>
        <v>0.000309036540749704</v>
      </c>
      <c r="C761" s="71" t="n">
        <f aca="false">_xlfn.NORM.S.DIST(A761,TRUE())</f>
        <v>0.999923145710755</v>
      </c>
      <c r="D761" s="71" t="n">
        <f aca="false">B761-A761*(1-C761)</f>
        <v>1.81430559583083E-005</v>
      </c>
    </row>
    <row r="762" customFormat="false" ht="15" hidden="false" customHeight="true" outlineLevel="0" collapsed="false">
      <c r="A762" s="70" t="n">
        <v>3.79</v>
      </c>
      <c r="B762" s="71" t="n">
        <f aca="false">_xlfn.NORM.S.DIST(A762,FALSE())</f>
        <v>0.000303239227822004</v>
      </c>
      <c r="C762" s="71" t="n">
        <f aca="false">_xlfn.NORM.S.DIST(A762,TRUE())</f>
        <v>0.999924676357621</v>
      </c>
      <c r="D762" s="71" t="n">
        <f aca="false">B762-A762*(1-C762)</f>
        <v>1.77626232066486E-005</v>
      </c>
    </row>
    <row r="763" customFormat="false" ht="15" hidden="false" customHeight="true" outlineLevel="0" collapsed="false">
      <c r="A763" s="70" t="n">
        <v>3.795</v>
      </c>
      <c r="B763" s="71" t="n">
        <f aca="false">_xlfn.NORM.S.DIST(A763,FALSE())</f>
        <v>0.000297543229823306</v>
      </c>
      <c r="C763" s="71" t="n">
        <f aca="false">_xlfn.NORM.S.DIST(A763,TRUE())</f>
        <v>0.99992617827189</v>
      </c>
      <c r="D763" s="71" t="n">
        <f aca="false">B763-A763*(1-C763)</f>
        <v>1.73897716471555E-005</v>
      </c>
    </row>
    <row r="764" customFormat="false" ht="15" hidden="false" customHeight="true" outlineLevel="0" collapsed="false">
      <c r="A764" s="70" t="n">
        <v>3.8</v>
      </c>
      <c r="B764" s="71" t="n">
        <f aca="false">_xlfn.NORM.S.DIST(A764,FALSE())</f>
        <v>0.00029194692579146</v>
      </c>
      <c r="C764" s="71" t="n">
        <f aca="false">_xlfn.NORM.S.DIST(A764,TRUE())</f>
        <v>0.999927651956075</v>
      </c>
      <c r="D764" s="71" t="n">
        <f aca="false">B764-A764*(1-C764)</f>
        <v>1.70243588761348E-005</v>
      </c>
    </row>
    <row r="765" customFormat="false" ht="15" hidden="false" customHeight="true" outlineLevel="0" collapsed="false">
      <c r="A765" s="70" t="n">
        <v>3.805</v>
      </c>
      <c r="B765" s="71" t="n">
        <f aca="false">_xlfn.NORM.S.DIST(A765,FALSE())</f>
        <v>0.000286448717825461</v>
      </c>
      <c r="C765" s="71" t="n">
        <f aca="false">_xlfn.NORM.S.DIST(A765,TRUE())</f>
        <v>0.999929097904641</v>
      </c>
      <c r="D765" s="71" t="n">
        <f aca="false">B765-A765*(1-C765)</f>
        <v>1.66662449824211E-005</v>
      </c>
    </row>
    <row r="766" customFormat="false" ht="15" hidden="false" customHeight="true" outlineLevel="0" collapsed="false">
      <c r="A766" s="70" t="n">
        <v>3.81</v>
      </c>
      <c r="B766" s="71" t="n">
        <f aca="false">_xlfn.NORM.S.DIST(A766,FALSE())</f>
        <v>0.000281047030809986</v>
      </c>
      <c r="C766" s="71" t="n">
        <f aca="false">_xlfn.NORM.S.DIST(A766,TRUE())</f>
        <v>0.99993051660412</v>
      </c>
      <c r="D766" s="71" t="n">
        <f aca="false">B766-A766*(1-C766)</f>
        <v>1.63152925076978E-005</v>
      </c>
    </row>
    <row r="767" customFormat="false" ht="15" hidden="false" customHeight="true" outlineLevel="0" collapsed="false">
      <c r="A767" s="70" t="n">
        <v>3.815</v>
      </c>
      <c r="B767" s="71" t="n">
        <f aca="false">_xlfn.NORM.S.DIST(A767,FALSE())</f>
        <v>0.000275740312142301</v>
      </c>
      <c r="C767" s="71" t="n">
        <f aca="false">_xlfn.NORM.S.DIST(A767,TRUE())</f>
        <v>0.999931908533228</v>
      </c>
      <c r="D767" s="71" t="n">
        <f aca="false">B767-A767*(1-C767)</f>
        <v>1.5971366406689E-005</v>
      </c>
    </row>
    <row r="768" customFormat="false" ht="15" hidden="false" customHeight="true" outlineLevel="0" collapsed="false">
      <c r="A768" s="70" t="n">
        <v>3.82</v>
      </c>
      <c r="B768" s="71" t="n">
        <f aca="false">_xlfn.NORM.S.DIST(A768,FALSE())</f>
        <v>0.000270527031461521</v>
      </c>
      <c r="C768" s="71" t="n">
        <f aca="false">_xlfn.NORM.S.DIST(A768,TRUE())</f>
        <v>0.99993327416297</v>
      </c>
      <c r="D768" s="71" t="n">
        <f aca="false">B768-A768*(1-C768)</f>
        <v>1.56343340080173E-005</v>
      </c>
    </row>
    <row r="769" customFormat="false" ht="15" hidden="false" customHeight="true" outlineLevel="0" collapsed="false">
      <c r="A769" s="70" t="n">
        <v>3.825</v>
      </c>
      <c r="B769" s="71" t="n">
        <f aca="false">_xlfn.NORM.S.DIST(A769,FALSE())</f>
        <v>0.000265405680380228</v>
      </c>
      <c r="C769" s="71" t="n">
        <f aca="false">_xlfn.NORM.S.DIST(A769,TRUE())</f>
        <v>0.999934613956757</v>
      </c>
      <c r="D769" s="71" t="n">
        <f aca="false">B769-A769*(1-C769)</f>
        <v>1.53040649769474E-005</v>
      </c>
    </row>
    <row r="770" customFormat="false" ht="15" hidden="false" customHeight="true" outlineLevel="0" collapsed="false">
      <c r="A770" s="70" t="n">
        <v>3.83</v>
      </c>
      <c r="B770" s="71" t="n">
        <f aca="false">_xlfn.NORM.S.DIST(A770,FALSE())</f>
        <v>0.000260374772218442</v>
      </c>
      <c r="C770" s="71" t="n">
        <f aca="false">_xlfn.NORM.S.DIST(A770,TRUE())</f>
        <v>0.999935928370511</v>
      </c>
      <c r="D770" s="71" t="n">
        <f aca="false">B770-A770*(1-C770)</f>
        <v>1.49804312761515E-005</v>
      </c>
    </row>
    <row r="771" customFormat="false" ht="15" hidden="false" customHeight="true" outlineLevel="0" collapsed="false">
      <c r="A771" s="70" t="n">
        <v>3.835</v>
      </c>
      <c r="B771" s="71" t="n">
        <f aca="false">_xlfn.NORM.S.DIST(A771,FALSE())</f>
        <v>0.00025543284173993</v>
      </c>
      <c r="C771" s="71" t="n">
        <f aca="false">_xlfn.NORM.S.DIST(A771,TRUE())</f>
        <v>0.999937217852775</v>
      </c>
      <c r="D771" s="71" t="n">
        <f aca="false">B771-A771*(1-C771)</f>
        <v>1.46633071299517E-005</v>
      </c>
    </row>
    <row r="772" customFormat="false" ht="15" hidden="false" customHeight="true" outlineLevel="0" collapsed="false">
      <c r="A772" s="70" t="n">
        <v>3.84</v>
      </c>
      <c r="B772" s="71" t="n">
        <f aca="false">_xlfn.NORM.S.DIST(A772,FALSE())</f>
        <v>0.000250578444890861</v>
      </c>
      <c r="C772" s="71" t="n">
        <f aca="false">_xlfn.NORM.S.DIST(A772,TRUE())</f>
        <v>0.999938482844817</v>
      </c>
      <c r="D772" s="71" t="n">
        <f aca="false">B772-A772*(1-C772)</f>
        <v>1.43525689873323E-005</v>
      </c>
    </row>
    <row r="773" customFormat="false" ht="15" hidden="false" customHeight="true" outlineLevel="0" collapsed="false">
      <c r="A773" s="70" t="n">
        <v>3.845</v>
      </c>
      <c r="B773" s="71" t="n">
        <f aca="false">_xlfn.NORM.S.DIST(A773,FALSE())</f>
        <v>0.000245810158540793</v>
      </c>
      <c r="C773" s="71" t="n">
        <f aca="false">_xlfn.NORM.S.DIST(A773,TRUE())</f>
        <v>0.99993972378074</v>
      </c>
      <c r="D773" s="71" t="n">
        <f aca="false">B773-A773*(1-C773)</f>
        <v>1.40480954849306E-005</v>
      </c>
    </row>
    <row r="774" customFormat="false" ht="15" hidden="false" customHeight="true" outlineLevel="0" collapsed="false">
      <c r="A774" s="70" t="n">
        <v>3.85</v>
      </c>
      <c r="B774" s="71" t="n">
        <f aca="false">_xlfn.NORM.S.DIST(A774,FALSE())</f>
        <v>0.000241126580225993</v>
      </c>
      <c r="C774" s="71" t="n">
        <f aca="false">_xlfn.NORM.S.DIST(A774,TRUE())</f>
        <v>0.999940941087581</v>
      </c>
      <c r="D774" s="71" t="n">
        <f aca="false">B774-A774*(1-C774)</f>
        <v>1.37497674129417E-005</v>
      </c>
    </row>
    <row r="775" customFormat="false" ht="15" hidden="false" customHeight="true" outlineLevel="0" collapsed="false">
      <c r="A775" s="70" t="n">
        <v>3.855</v>
      </c>
      <c r="B775" s="71" t="n">
        <f aca="false">_xlfn.NORM.S.DIST(A775,FALSE())</f>
        <v>0.000236526327895072</v>
      </c>
      <c r="C775" s="71" t="n">
        <f aca="false">_xlfn.NORM.S.DIST(A775,TRUE())</f>
        <v>0.999942135185418</v>
      </c>
      <c r="D775" s="71" t="n">
        <f aca="false">B775-A775*(1-C775)</f>
        <v>1.34574676796289E-005</v>
      </c>
    </row>
    <row r="776" customFormat="false" ht="15" hidden="false" customHeight="true" outlineLevel="0" collapsed="false">
      <c r="A776" s="70" t="n">
        <v>3.86</v>
      </c>
      <c r="B776" s="71" t="n">
        <f aca="false">_xlfn.NORM.S.DIST(A776,FALSE())</f>
        <v>0.000232008039656942</v>
      </c>
      <c r="C776" s="71" t="n">
        <f aca="false">_xlfn.NORM.S.DIST(A776,TRUE())</f>
        <v>0.999943306487466</v>
      </c>
      <c r="D776" s="71" t="n">
        <f aca="false">B776-A776*(1-C776)</f>
        <v>1.31710812747998E-005</v>
      </c>
    </row>
    <row r="777" customFormat="false" ht="15" hidden="false" customHeight="true" outlineLevel="0" collapsed="false">
      <c r="A777" s="70" t="n">
        <v>3.865</v>
      </c>
      <c r="B777" s="71" t="n">
        <f aca="false">_xlfn.NORM.S.DIST(A777,FALSE())</f>
        <v>0.000227570373531082</v>
      </c>
      <c r="C777" s="71" t="n">
        <f aca="false">_xlfn.NORM.S.DIST(A777,TRUE())</f>
        <v>0.999944455400183</v>
      </c>
      <c r="D777" s="71" t="n">
        <f aca="false">B777-A777*(1-C777)</f>
        <v>1.28904952390498E-005</v>
      </c>
    </row>
    <row r="778" customFormat="false" ht="15" hidden="false" customHeight="true" outlineLevel="0" collapsed="false">
      <c r="A778" s="70" t="n">
        <v>3.87</v>
      </c>
      <c r="B778" s="71" t="n">
        <f aca="false">_xlfn.NORM.S.DIST(A778,FALSE())</f>
        <v>0.000223212007200102</v>
      </c>
      <c r="C778" s="71" t="n">
        <f aca="false">_xlfn.NORM.S.DIST(A778,TRUE())</f>
        <v>0.999945582323366</v>
      </c>
      <c r="D778" s="71" t="n">
        <f aca="false">B778-A778*(1-C778)</f>
        <v>1.26155986275967E-005</v>
      </c>
    </row>
    <row r="779" customFormat="false" ht="15" hidden="false" customHeight="true" outlineLevel="0" collapsed="false">
      <c r="A779" s="70" t="n">
        <v>3.875</v>
      </c>
      <c r="B779" s="71" t="n">
        <f aca="false">_xlfn.NORM.S.DIST(A779,FALSE())</f>
        <v>0.000218931637764612</v>
      </c>
      <c r="C779" s="71" t="n">
        <f aca="false">_xlfn.NORM.S.DIST(A779,TRUE())</f>
        <v>0.999946687650249</v>
      </c>
      <c r="D779" s="71" t="n">
        <f aca="false">B779-A779*(1-C779)</f>
        <v>1.23462824789271E-005</v>
      </c>
    </row>
    <row r="780" customFormat="false" ht="15" hidden="false" customHeight="true" outlineLevel="0" collapsed="false">
      <c r="A780" s="70" t="n">
        <v>3.88</v>
      </c>
      <c r="B780" s="71" t="n">
        <f aca="false">_xlfn.NORM.S.DIST(A780,FALSE())</f>
        <v>0.000214727981500367</v>
      </c>
      <c r="C780" s="71" t="n">
        <f aca="false">_xlfn.NORM.S.DIST(A780,TRUE())</f>
        <v>0.999947771767598</v>
      </c>
      <c r="D780" s="71" t="n">
        <f aca="false">B780-A780*(1-C780)</f>
        <v>1.20824397813539E-005</v>
      </c>
    </row>
    <row r="781" customFormat="false" ht="15" hidden="false" customHeight="true" outlineLevel="0" collapsed="false">
      <c r="A781" s="70" t="n">
        <v>3.885</v>
      </c>
      <c r="B781" s="71" t="n">
        <f aca="false">_xlfn.NORM.S.DIST(A781,FALSE())</f>
        <v>0.0002105997736177</v>
      </c>
      <c r="C781" s="71" t="n">
        <f aca="false">_xlfn.NORM.S.DIST(A781,TRUE())</f>
        <v>0.99994883505581</v>
      </c>
      <c r="D781" s="71" t="n">
        <f aca="false">B781-A781*(1-C781)</f>
        <v>1.18239654404268E-005</v>
      </c>
    </row>
    <row r="782" customFormat="false" ht="15" hidden="false" customHeight="true" outlineLevel="0" collapsed="false">
      <c r="A782" s="70" t="n">
        <v>3.89</v>
      </c>
      <c r="B782" s="71" t="n">
        <f aca="false">_xlfn.NORM.S.DIST(A782,FALSE())</f>
        <v>0.000206545768023225</v>
      </c>
      <c r="C782" s="71" t="n">
        <f aca="false">_xlfn.NORM.S.DIST(A782,TRUE())</f>
        <v>0.999949877889004</v>
      </c>
      <c r="D782" s="71" t="n">
        <f aca="false">B782-A782*(1-C782)</f>
        <v>1.15707562480152E-005</v>
      </c>
    </row>
    <row r="783" customFormat="false" ht="15" hidden="false" customHeight="true" outlineLevel="0" collapsed="false">
      <c r="A783" s="70" t="n">
        <v>3.895</v>
      </c>
      <c r="B783" s="71" t="n">
        <f aca="false">_xlfn.NORM.S.DIST(A783,FALSE())</f>
        <v>0.000202564737083806</v>
      </c>
      <c r="C783" s="71" t="n">
        <f aca="false">_xlfn.NORM.S.DIST(A783,TRUE())</f>
        <v>0.999950900635114</v>
      </c>
      <c r="D783" s="71" t="n">
        <f aca="false">B783-A783*(1-C783)</f>
        <v>1.13227108521591E-005</v>
      </c>
    </row>
    <row r="784" customFormat="false" ht="15" hidden="false" customHeight="true" outlineLevel="0" collapsed="false">
      <c r="A784" s="70" t="n">
        <v>3.9</v>
      </c>
      <c r="B784" s="71" t="n">
        <f aca="false">_xlfn.NORM.S.DIST(A784,FALSE())</f>
        <v>0.000198655471392773</v>
      </c>
      <c r="C784" s="71" t="n">
        <f aca="false">_xlfn.NORM.S.DIST(A784,TRUE())</f>
        <v>0.999951903655982</v>
      </c>
      <c r="D784" s="71" t="n">
        <f aca="false">B784-A784*(1-C784)</f>
        <v>1.1079729724173E-005</v>
      </c>
    </row>
    <row r="785" customFormat="false" ht="15" hidden="false" customHeight="true" outlineLevel="0" collapsed="false">
      <c r="A785" s="70" t="n">
        <v>3.905</v>
      </c>
      <c r="B785" s="71" t="n">
        <f aca="false">_xlfn.NORM.S.DIST(A785,FALSE())</f>
        <v>0.000194816779538398</v>
      </c>
      <c r="C785" s="71" t="n">
        <f aca="false">_xlfn.NORM.S.DIST(A785,TRUE())</f>
        <v>0.99995288730745</v>
      </c>
      <c r="D785" s="71" t="n">
        <f aca="false">B785-A785*(1-C785)</f>
        <v>1.0841715129868E-005</v>
      </c>
    </row>
    <row r="786" customFormat="false" ht="15" hidden="false" customHeight="true" outlineLevel="0" collapsed="false">
      <c r="A786" s="70" t="n">
        <v>3.91</v>
      </c>
      <c r="B786" s="71" t="n">
        <f aca="false">_xlfn.NORM.S.DIST(A786,FALSE())</f>
        <v>0.000191047487874598</v>
      </c>
      <c r="C786" s="71" t="n">
        <f aca="false">_xlfn.NORM.S.DIST(A786,TRUE())</f>
        <v>0.999953851939444</v>
      </c>
      <c r="D786" s="71" t="n">
        <f aca="false">B786-A786*(1-C786)</f>
        <v>1.06085710996589E-005</v>
      </c>
    </row>
    <row r="787" customFormat="false" ht="15" hidden="false" customHeight="true" outlineLevel="0" collapsed="false">
      <c r="A787" s="70" t="n">
        <v>3.915</v>
      </c>
      <c r="B787" s="71" t="n">
        <f aca="false">_xlfn.NORM.S.DIST(A787,FALSE())</f>
        <v>0.000187346440293872</v>
      </c>
      <c r="C787" s="71" t="n">
        <f aca="false">_xlfn.NORM.S.DIST(A787,TRUE())</f>
        <v>0.999954797896068</v>
      </c>
      <c r="D787" s="71" t="n">
        <f aca="false">B787-A787*(1-C787)</f>
        <v>1.03802033992384E-005</v>
      </c>
    </row>
    <row r="788" customFormat="false" ht="15" hidden="false" customHeight="true" outlineLevel="0" collapsed="false">
      <c r="A788" s="70" t="n">
        <v>3.92</v>
      </c>
      <c r="B788" s="71" t="n">
        <f aca="false">_xlfn.NORM.S.DIST(A788,FALSE())</f>
        <v>0.000183712498002457</v>
      </c>
      <c r="C788" s="71" t="n">
        <f aca="false">_xlfn.NORM.S.DIST(A788,TRUE())</f>
        <v>0.999955725515688</v>
      </c>
      <c r="D788" s="71" t="n">
        <f aca="false">B788-A788*(1-C788)</f>
        <v>1.01565194990203E-005</v>
      </c>
    </row>
    <row r="789" customFormat="false" ht="15" hidden="false" customHeight="true" outlineLevel="0" collapsed="false">
      <c r="A789" s="70" t="n">
        <v>3.925</v>
      </c>
      <c r="B789" s="71" t="n">
        <f aca="false">_xlfn.NORM.S.DIST(A789,FALSE())</f>
        <v>0.000180144539297689</v>
      </c>
      <c r="C789" s="71" t="n">
        <f aca="false">_xlfn.NORM.S.DIST(A789,TRUE())</f>
        <v>0.99995663513102</v>
      </c>
      <c r="D789" s="71" t="n">
        <f aca="false">B789-A789*(1-C789)</f>
        <v>9.93742854927003E-006</v>
      </c>
    </row>
    <row r="790" customFormat="false" ht="15" hidden="false" customHeight="true" outlineLevel="0" collapsed="false">
      <c r="A790" s="70" t="n">
        <v>3.93</v>
      </c>
      <c r="B790" s="71" t="n">
        <f aca="false">_xlfn.NORM.S.DIST(A790,FALSE())</f>
        <v>0.000176641459347571</v>
      </c>
      <c r="C790" s="71" t="n">
        <f aca="false">_xlfn.NORM.S.DIST(A790,TRUE())</f>
        <v>0.999957527069211</v>
      </c>
      <c r="D790" s="71" t="n">
        <f aca="false">B790-A790*(1-C790)</f>
        <v>9.72284134782476E-006</v>
      </c>
    </row>
    <row r="791" customFormat="false" ht="15" hidden="false" customHeight="true" outlineLevel="0" collapsed="false">
      <c r="A791" s="70" t="n">
        <v>3.935</v>
      </c>
      <c r="B791" s="71" t="n">
        <f aca="false">_xlfn.NORM.S.DIST(A791,FALSE())</f>
        <v>0.000173202169972529</v>
      </c>
      <c r="C791" s="71" t="n">
        <f aca="false">_xlfn.NORM.S.DIST(A791,TRUE())</f>
        <v>0.99995840165193</v>
      </c>
      <c r="D791" s="71" t="n">
        <f aca="false">B791-A791*(1-C791)</f>
        <v>9.51267031557604E-006</v>
      </c>
    </row>
    <row r="792" customFormat="false" ht="15" hidden="false" customHeight="true" outlineLevel="0" collapsed="false">
      <c r="A792" s="70" t="n">
        <v>3.94</v>
      </c>
      <c r="B792" s="71" t="n">
        <f aca="false">_xlfn.NORM.S.DIST(A792,FALSE())</f>
        <v>0.000169825599429344</v>
      </c>
      <c r="C792" s="71" t="n">
        <f aca="false">_xlfn.NORM.S.DIST(A792,TRUE())</f>
        <v>0.999959259195442</v>
      </c>
      <c r="D792" s="71" t="n">
        <f aca="false">B792-A792*(1-C792)</f>
        <v>9.30682946879654E-006</v>
      </c>
    </row>
    <row r="793" customFormat="false" ht="15" hidden="false" customHeight="true" outlineLevel="0" collapsed="false">
      <c r="A793" s="70" t="n">
        <v>3.945</v>
      </c>
      <c r="B793" s="71" t="n">
        <f aca="false">_xlfn.NORM.S.DIST(A793,FALSE())</f>
        <v>0.000166510692197259</v>
      </c>
      <c r="C793" s="71" t="n">
        <f aca="false">_xlfn.NORM.S.DIST(A793,TRUE())</f>
        <v>0.999960100010695</v>
      </c>
      <c r="D793" s="71" t="n">
        <f aca="false">B793-A793*(1-C793)</f>
        <v>9.10523438998393E-006</v>
      </c>
    </row>
    <row r="794" customFormat="false" ht="15" hidden="false" customHeight="true" outlineLevel="0" collapsed="false">
      <c r="A794" s="70" t="n">
        <v>3.95</v>
      </c>
      <c r="B794" s="71" t="n">
        <f aca="false">_xlfn.NORM.S.DIST(A794,FALSE())</f>
        <v>0.000163256408766242</v>
      </c>
      <c r="C794" s="71" t="n">
        <f aca="false">_xlfn.NORM.S.DIST(A794,TRUE())</f>
        <v>0.999960924403402</v>
      </c>
      <c r="D794" s="71" t="n">
        <f aca="false">B794-A794*(1-C794)</f>
        <v>8.9078022050477E-006</v>
      </c>
    </row>
    <row r="795" customFormat="false" ht="15" hidden="false" customHeight="true" outlineLevel="0" collapsed="false">
      <c r="A795" s="70" t="n">
        <v>3.955</v>
      </c>
      <c r="B795" s="71" t="n">
        <f aca="false">_xlfn.NORM.S.DIST(A795,FALSE())</f>
        <v>0.000160061725427401</v>
      </c>
      <c r="C795" s="71" t="n">
        <f aca="false">_xlfn.NORM.S.DIST(A795,TRUE())</f>
        <v>0.999961732674116</v>
      </c>
      <c r="D795" s="71" t="n">
        <f aca="false">B795-A795*(1-C795)</f>
        <v>8.71445155411558E-006</v>
      </c>
    </row>
    <row r="796" customFormat="false" ht="15" hidden="false" customHeight="true" outlineLevel="0" collapsed="false">
      <c r="A796" s="70" t="n">
        <v>3.96</v>
      </c>
      <c r="B796" s="71" t="n">
        <f aca="false">_xlfn.NORM.S.DIST(A796,FALSE())</f>
        <v>0.000156925634065532</v>
      </c>
      <c r="C796" s="71" t="n">
        <f aca="false">_xlfn.NORM.S.DIST(A796,TRUE())</f>
        <v>0.999962525118309</v>
      </c>
      <c r="D796" s="71" t="n">
        <f aca="false">B796-A796*(1-C796)</f>
        <v>8.52510256903248E-006</v>
      </c>
    </row>
    <row r="797" customFormat="false" ht="15" hidden="false" customHeight="true" outlineLevel="0" collapsed="false">
      <c r="A797" s="70" t="n">
        <v>3.965</v>
      </c>
      <c r="B797" s="71" t="n">
        <f aca="false">_xlfn.NORM.S.DIST(A797,FALSE())</f>
        <v>0.000153847141953797</v>
      </c>
      <c r="C797" s="71" t="n">
        <f aca="false">_xlfn.NORM.S.DIST(A797,TRUE())</f>
        <v>0.999963302026454</v>
      </c>
      <c r="D797" s="71" t="n">
        <f aca="false">B797-A797*(1-C797)</f>
        <v>8.33967684436319E-006</v>
      </c>
    </row>
    <row r="798" customFormat="false" ht="15" hidden="false" customHeight="true" outlineLevel="0" collapsed="false">
      <c r="A798" s="70" t="n">
        <v>3.97</v>
      </c>
      <c r="B798" s="71" t="n">
        <f aca="false">_xlfn.NORM.S.DIST(A798,FALSE())</f>
        <v>0.000150825271550518</v>
      </c>
      <c r="C798" s="71" t="n">
        <f aca="false">_xlfn.NORM.S.DIST(A798,TRUE())</f>
        <v>0.999964063684097</v>
      </c>
      <c r="D798" s="71" t="n">
        <f aca="false">B798-A798*(1-C798)</f>
        <v>8.15809741632997E-006</v>
      </c>
    </row>
    <row r="799" customFormat="false" ht="15" hidden="false" customHeight="true" outlineLevel="0" collapsed="false">
      <c r="A799" s="70" t="n">
        <v>3.975</v>
      </c>
      <c r="B799" s="71" t="n">
        <f aca="false">_xlfn.NORM.S.DIST(A799,FALSE())</f>
        <v>0.000147859060298074</v>
      </c>
      <c r="C799" s="71" t="n">
        <f aca="false">_xlfn.NORM.S.DIST(A799,TRUE())</f>
        <v>0.999964810371934</v>
      </c>
      <c r="D799" s="71" t="n">
        <f aca="false">B799-A799*(1-C799)</f>
        <v>7.98028873602718E-006</v>
      </c>
    </row>
    <row r="800" customFormat="false" ht="15" hidden="false" customHeight="true" outlineLevel="0" collapsed="false">
      <c r="A800" s="70" t="n">
        <v>3.98</v>
      </c>
      <c r="B800" s="71" t="n">
        <f aca="false">_xlfn.NORM.S.DIST(A800,FALSE())</f>
        <v>0.000144947560423891</v>
      </c>
      <c r="C800" s="71" t="n">
        <f aca="false">_xlfn.NORM.S.DIST(A800,TRUE())</f>
        <v>0.999965542365885</v>
      </c>
      <c r="D800" s="71" t="n">
        <f aca="false">B800-A800*(1-C800)</f>
        <v>7.80617664608756E-006</v>
      </c>
    </row>
    <row r="801" customFormat="false" ht="15" hidden="false" customHeight="true" outlineLevel="0" collapsed="false">
      <c r="A801" s="70" t="n">
        <v>3.985</v>
      </c>
      <c r="B801" s="71" t="n">
        <f aca="false">_xlfn.NORM.S.DIST(A801,FALSE())</f>
        <v>0.000142089838743517</v>
      </c>
      <c r="C801" s="71" t="n">
        <f aca="false">_xlfn.NORM.S.DIST(A801,TRUE())</f>
        <v>0.999966259937168</v>
      </c>
      <c r="D801" s="71" t="n">
        <f aca="false">B801-A801*(1-C801)</f>
        <v>7.63568835724705E-006</v>
      </c>
    </row>
    <row r="802" customFormat="false" ht="15" hidden="false" customHeight="true" outlineLevel="0" collapsed="false">
      <c r="A802" s="70" t="n">
        <v>3.99</v>
      </c>
      <c r="B802" s="71" t="n">
        <f aca="false">_xlfn.NORM.S.DIST(A802,FALSE())</f>
        <v>0.00013928497646576</v>
      </c>
      <c r="C802" s="71" t="n">
        <f aca="false">_xlfn.NORM.S.DIST(A802,TRUE())</f>
        <v>0.999966963352371</v>
      </c>
      <c r="D802" s="71" t="n">
        <f aca="false">B802-A802*(1-C802)</f>
        <v>7.46875242430882E-006</v>
      </c>
    </row>
    <row r="803" customFormat="false" ht="15" hidden="false" customHeight="true" outlineLevel="0" collapsed="false">
      <c r="A803" s="70" t="n">
        <v>3.995</v>
      </c>
      <c r="B803" s="71" t="n">
        <f aca="false">_xlfn.NORM.S.DIST(A803,FALSE())</f>
        <v>0.00013653206899989</v>
      </c>
      <c r="C803" s="71" t="n">
        <f aca="false">_xlfn.NORM.S.DIST(A803,TRUE())</f>
        <v>0.999967652873523</v>
      </c>
      <c r="D803" s="71" t="n">
        <f aca="false">B803-A803*(1-C803)</f>
        <v>7.30529872456205E-006</v>
      </c>
    </row>
    <row r="804" customFormat="false" ht="15" hidden="false" customHeight="true" outlineLevel="0" collapsed="false">
      <c r="A804" s="70" t="n">
        <v>4</v>
      </c>
      <c r="B804" s="71" t="n">
        <f aca="false">_xlfn.NORM.S.DIST(A804,FALSE())</f>
        <v>0.000133830225764885</v>
      </c>
      <c r="C804" s="71" t="n">
        <f aca="false">_xlfn.NORM.S.DIST(A804,TRUE())</f>
        <v>0.999968328758167</v>
      </c>
      <c r="D804" s="71" t="n">
        <f aca="false">B804-A804*(1-C804)</f>
        <v>7.14525843240545E-006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2026-06-16T09:28:59Z</dcterms:created>
  <dc:creator>openpyxl</dc:creator>
  <dc:description/>
  <dc:language>en-US</dc:language>
  <cp:lastModifiedBy/>
  <dcterms:modified xsi:type="dcterms:W3CDTF">2026-06-16T10:05:57Z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